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2203" documentId="8_{8847650D-614C-4264-8C87-30D8B5EB4252}" xr6:coauthVersionLast="47" xr6:coauthVersionMax="47" xr10:uidLastSave="{B8665F4D-F0CB-44A2-9D4C-599C1E1D7973}"/>
  <bookViews>
    <workbookView xWindow="-120" yWindow="-120" windowWidth="29040" windowHeight="15720" xr2:uid="{00000000-000D-0000-FFFF-FFFF00000000}"/>
  </bookViews>
  <sheets>
    <sheet name="Total" sheetId="2" r:id="rId1"/>
    <sheet name="Electricity" sheetId="3" r:id="rId2"/>
    <sheet name="Water" sheetId="5" r:id="rId3"/>
    <sheet name="LPG" sheetId="8" r:id="rId4"/>
    <sheet name="Occupied &amp; No. of Guest" sheetId="7" r:id="rId5"/>
  </sheets>
  <definedNames>
    <definedName name="_xlnm._FilterDatabase" localSheetId="3" hidden="1">LPG!$B$3:$E$3</definedName>
    <definedName name="_xlnm.Print_Area" localSheetId="3">LPG!$A$1:$AG$13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G2" i="2"/>
  <c r="E2" i="2"/>
  <c r="AG7" i="8"/>
  <c r="AG5" i="8"/>
  <c r="AG8" i="8" l="1"/>
  <c r="AI15" i="5" l="1"/>
  <c r="AI14" i="5"/>
  <c r="AI12" i="5"/>
  <c r="AI10" i="5"/>
  <c r="AI8" i="5"/>
  <c r="AI6" i="5"/>
  <c r="AI21" i="3" l="1"/>
  <c r="AI20" i="3"/>
  <c r="AI18" i="3"/>
  <c r="AI16" i="3"/>
  <c r="AI14" i="3"/>
  <c r="AI12" i="3"/>
  <c r="AI10" i="3"/>
  <c r="AI8" i="3"/>
  <c r="AI6" i="3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AF5" i="8"/>
  <c r="AF7" i="8"/>
  <c r="AF8" i="8" s="1"/>
  <c r="AH14" i="5" l="1"/>
  <c r="AH12" i="5"/>
  <c r="AH10" i="5"/>
  <c r="AH8" i="5"/>
  <c r="AH6" i="5"/>
  <c r="AH20" i="3"/>
  <c r="AH18" i="3"/>
  <c r="AH16" i="3"/>
  <c r="AH14" i="3"/>
  <c r="AH12" i="3"/>
  <c r="AH10" i="3"/>
  <c r="AH8" i="3"/>
  <c r="AH6" i="3"/>
  <c r="AH21" i="3" l="1"/>
  <c r="AD7" i="8" l="1"/>
  <c r="AE7" i="8"/>
  <c r="AD5" i="8"/>
  <c r="AE5" i="8"/>
  <c r="AD8" i="8" l="1"/>
  <c r="AE8" i="8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F8" i="3" l="1"/>
  <c r="AG8" i="3"/>
  <c r="AF10" i="3"/>
  <c r="AG10" i="3"/>
  <c r="AF12" i="3"/>
  <c r="AG12" i="3"/>
  <c r="AF14" i="3"/>
  <c r="AG14" i="3"/>
  <c r="AF16" i="3"/>
  <c r="AG16" i="3"/>
  <c r="AF18" i="3"/>
  <c r="AG18" i="3"/>
  <c r="AF20" i="3"/>
  <c r="AG20" i="3"/>
  <c r="AF6" i="3"/>
  <c r="AG6" i="3"/>
  <c r="AC7" i="8" l="1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AC5" i="8"/>
  <c r="AB5" i="8"/>
  <c r="AA5" i="8"/>
  <c r="Z5" i="8"/>
  <c r="Y5" i="8"/>
  <c r="X5" i="8"/>
  <c r="X8" i="8" s="1"/>
  <c r="W5" i="8"/>
  <c r="W8" i="8" s="1"/>
  <c r="V5" i="8"/>
  <c r="U5" i="8"/>
  <c r="T5" i="8"/>
  <c r="S5" i="8"/>
  <c r="R5" i="8"/>
  <c r="Q5" i="8"/>
  <c r="P5" i="8"/>
  <c r="O5" i="8"/>
  <c r="N5" i="8"/>
  <c r="M5" i="8"/>
  <c r="L5" i="8"/>
  <c r="L8" i="8" s="1"/>
  <c r="K5" i="8"/>
  <c r="K8" i="8" s="1"/>
  <c r="J5" i="8"/>
  <c r="I5" i="8"/>
  <c r="H5" i="8"/>
  <c r="G5" i="8"/>
  <c r="F5" i="8"/>
  <c r="E5" i="8"/>
  <c r="D5" i="8"/>
  <c r="C5" i="8"/>
  <c r="J8" i="8" l="1"/>
  <c r="U8" i="8"/>
  <c r="H8" i="8"/>
  <c r="T8" i="8"/>
  <c r="D8" i="8"/>
  <c r="P8" i="8"/>
  <c r="N8" i="8"/>
  <c r="Z8" i="8"/>
  <c r="O8" i="8"/>
  <c r="AA8" i="8"/>
  <c r="AB8" i="8"/>
  <c r="S8" i="8"/>
  <c r="C10" i="8"/>
  <c r="E8" i="8"/>
  <c r="Q8" i="8"/>
  <c r="AC8" i="8"/>
  <c r="V8" i="8"/>
  <c r="M8" i="8"/>
  <c r="I8" i="8"/>
  <c r="F8" i="8"/>
  <c r="R8" i="8"/>
  <c r="G8" i="8"/>
  <c r="C9" i="8"/>
  <c r="Y8" i="8"/>
  <c r="C8" i="8"/>
  <c r="C11" i="8" l="1"/>
  <c r="Q20" i="3" l="1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P14" i="5" l="1"/>
  <c r="P12" i="5"/>
  <c r="P10" i="5"/>
  <c r="P8" i="5"/>
  <c r="P6" i="5"/>
  <c r="P20" i="3"/>
  <c r="P18" i="3"/>
  <c r="P16" i="3"/>
  <c r="P14" i="3"/>
  <c r="P12" i="3"/>
  <c r="P10" i="3"/>
  <c r="P8" i="3"/>
  <c r="P6" i="3"/>
  <c r="O14" i="5"/>
  <c r="O12" i="5"/>
  <c r="O10" i="5"/>
  <c r="O8" i="5"/>
  <c r="O6" i="5"/>
  <c r="O20" i="3"/>
  <c r="O18" i="3"/>
  <c r="O16" i="3"/>
  <c r="O14" i="3"/>
  <c r="O12" i="3"/>
  <c r="O10" i="3"/>
  <c r="O8" i="3"/>
  <c r="O6" i="3"/>
  <c r="N14" i="5"/>
  <c r="M14" i="5"/>
  <c r="N12" i="5"/>
  <c r="M12" i="5"/>
  <c r="N10" i="5"/>
  <c r="M10" i="5"/>
  <c r="N8" i="5"/>
  <c r="M8" i="5"/>
  <c r="N6" i="5"/>
  <c r="M6" i="5"/>
  <c r="N20" i="3"/>
  <c r="M20" i="3"/>
  <c r="N18" i="3"/>
  <c r="M18" i="3"/>
  <c r="N16" i="3"/>
  <c r="M16" i="3"/>
  <c r="N14" i="3"/>
  <c r="M14" i="3"/>
  <c r="N12" i="3"/>
  <c r="M12" i="3"/>
  <c r="N10" i="3"/>
  <c r="M10" i="3"/>
  <c r="N8" i="3"/>
  <c r="M8" i="3"/>
  <c r="N6" i="3"/>
  <c r="M6" i="3"/>
  <c r="L14" i="5"/>
  <c r="L12" i="5"/>
  <c r="L10" i="5"/>
  <c r="L8" i="5"/>
  <c r="L6" i="5"/>
  <c r="L20" i="3"/>
  <c r="L18" i="3"/>
  <c r="L16" i="3"/>
  <c r="L14" i="3"/>
  <c r="L12" i="3"/>
  <c r="L10" i="3"/>
  <c r="L8" i="3"/>
  <c r="L6" i="3"/>
  <c r="K14" i="5"/>
  <c r="J14" i="5"/>
  <c r="I14" i="5"/>
  <c r="H14" i="5"/>
  <c r="K12" i="5"/>
  <c r="J12" i="5"/>
  <c r="I12" i="5"/>
  <c r="H12" i="5"/>
  <c r="K10" i="5"/>
  <c r="J10" i="5"/>
  <c r="I10" i="5"/>
  <c r="H10" i="5"/>
  <c r="K8" i="5"/>
  <c r="J8" i="5"/>
  <c r="I8" i="5"/>
  <c r="H8" i="5"/>
  <c r="K6" i="5"/>
  <c r="J6" i="5"/>
  <c r="I6" i="5"/>
  <c r="H6" i="5"/>
  <c r="K20" i="3"/>
  <c r="J20" i="3"/>
  <c r="I20" i="3"/>
  <c r="H20" i="3"/>
  <c r="K18" i="3"/>
  <c r="J18" i="3"/>
  <c r="I18" i="3"/>
  <c r="H18" i="3"/>
  <c r="K16" i="3"/>
  <c r="J16" i="3"/>
  <c r="I16" i="3"/>
  <c r="H16" i="3"/>
  <c r="K14" i="3"/>
  <c r="J14" i="3"/>
  <c r="I14" i="3"/>
  <c r="H14" i="3"/>
  <c r="K12" i="3"/>
  <c r="J12" i="3"/>
  <c r="I12" i="3"/>
  <c r="H12" i="3"/>
  <c r="K10" i="3"/>
  <c r="J10" i="3"/>
  <c r="I10" i="3"/>
  <c r="H10" i="3"/>
  <c r="K8" i="3"/>
  <c r="J8" i="3"/>
  <c r="I8" i="3"/>
  <c r="H8" i="3"/>
  <c r="K6" i="3"/>
  <c r="J6" i="3"/>
  <c r="I6" i="3"/>
  <c r="H6" i="3"/>
  <c r="G20" i="3"/>
  <c r="G18" i="3"/>
  <c r="G16" i="3"/>
  <c r="G14" i="3"/>
  <c r="G12" i="3"/>
  <c r="G10" i="3"/>
  <c r="G8" i="3"/>
  <c r="G6" i="3"/>
  <c r="G14" i="5"/>
  <c r="G12" i="5"/>
  <c r="G10" i="5"/>
  <c r="G8" i="5"/>
  <c r="G6" i="5"/>
  <c r="F14" i="3"/>
  <c r="F8" i="5"/>
  <c r="F6" i="5"/>
  <c r="F20" i="3"/>
  <c r="E20" i="3"/>
  <c r="F18" i="3"/>
  <c r="E18" i="3"/>
  <c r="F16" i="3"/>
  <c r="E16" i="3"/>
  <c r="E14" i="3"/>
  <c r="F12" i="3"/>
  <c r="E12" i="3"/>
  <c r="F10" i="3"/>
  <c r="E10" i="3"/>
  <c r="F8" i="3"/>
  <c r="E8" i="3"/>
  <c r="F6" i="3"/>
  <c r="E6" i="3"/>
  <c r="F14" i="5" l="1"/>
  <c r="E14" i="5"/>
  <c r="F12" i="5"/>
  <c r="E12" i="5"/>
  <c r="AH15" i="5"/>
  <c r="F10" i="5"/>
  <c r="E10" i="5"/>
  <c r="AG15" i="5"/>
  <c r="E8" i="5"/>
  <c r="E6" i="5"/>
  <c r="C34" i="7"/>
  <c r="B34" i="7"/>
  <c r="AF15" i="5" l="1"/>
  <c r="AF21" i="3"/>
  <c r="AG21" i="3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sharedStrings.xml><?xml version="1.0" encoding="utf-8"?>
<sst xmlns="http://schemas.openxmlformats.org/spreadsheetml/2006/main" count="130" uniqueCount="93">
  <si>
    <t>Site Name</t>
  </si>
  <si>
    <t>Day</t>
  </si>
  <si>
    <t>Month</t>
  </si>
  <si>
    <t>Year</t>
  </si>
  <si>
    <t>Total Electricity Kwh</t>
  </si>
  <si>
    <t>Electricity Tariff ($/Kwh)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</si>
  <si>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</si>
  <si>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</si>
  <si>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</si>
  <si>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</si>
  <si>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</si>
  <si>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</si>
  <si>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</si>
  <si>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</si>
  <si>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</si>
  <si>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</si>
  <si>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</si>
  <si>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</si>
  <si>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</si>
  <si>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</si>
  <si>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</si>
  <si>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</si>
  <si>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</si>
  <si>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</si>
  <si>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</si>
  <si>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</si>
  <si>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</si>
  <si>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</si>
  <si>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</si>
  <si>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</si>
  <si>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</si>
  <si>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</si>
  <si>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</si>
  <si>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</si>
  <si>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</si>
  <si>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</si>
  <si>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</si>
  <si>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</si>
  <si>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</si>
  <si>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</si>
  <si>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</si>
  <si>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</si>
  <si>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</si>
  <si>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</si>
  <si>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</si>
  <si>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</si>
  <si>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</si>
  <si>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</si>
  <si>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</si>
  <si>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</si>
  <si>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</si>
  <si>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</si>
  <si>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</si>
  <si>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</si>
  <si>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</si>
  <si>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</si>
  <si>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</si>
  <si>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</si>
  <si>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</si>
  <si>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</si>
  <si>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</si>
  <si>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</si>
  <si>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</si>
  <si>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</si>
  <si>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</si>
  <si>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</si>
  <si>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</si>
  <si>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</si>
  <si>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</si>
  <si>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</si>
  <si>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</si>
  <si>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</si>
  <si>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</si>
  <si>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</si>
  <si>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</si>
  <si>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</si>
  <si>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Date</t>
  </si>
  <si>
    <t>Occupied</t>
  </si>
  <si>
    <t># Guest</t>
  </si>
  <si>
    <t>TOTAL MTD</t>
  </si>
  <si>
    <t>BOILERS - 1 &amp;2</t>
  </si>
  <si>
    <t>KITCHENS</t>
  </si>
  <si>
    <t>TOTAL Daily Consumption (Liters)</t>
  </si>
  <si>
    <t>TOTAL Boiler  Consumption (Liters) - MTD</t>
  </si>
  <si>
    <t>TOTAL Kitchen Consumption (Liters) - MTD</t>
  </si>
  <si>
    <t>TOTAL Consumption (Liters) - Boiler + Kitchen</t>
  </si>
  <si>
    <t xml:space="preserve">LPG (Liters) </t>
  </si>
  <si>
    <t>Technical Report</t>
  </si>
  <si>
    <t>31</t>
  </si>
  <si>
    <t>DAILY GAS METER READINGS &amp; CONSUMPTION (Liters) JULY 2025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</si>
  <si>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JULY  2025</t>
    </r>
  </si>
  <si>
    <t>DAILY ELECTRICITY METER READINGS &amp; CONSUMPTION JULY 2025</t>
  </si>
  <si>
    <t>Occupied Room &amp; Number of Guest -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</si>
</sst>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#,##0.000"/>
    <numFmt numFmtId="166" formatCode="#,##0.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4"/>
      <color rgb="FFFFFFFF"/>
      <name val="Aptos Narrow"/>
      <family val="2"/>
    </font>
    <font>
      <sz val="10"/>
      <color rgb="FF000000"/>
      <name val="Aptos Narrow"/>
      <family val="2"/>
    </font>
    <font>
      <sz val="1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0C769E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9" fillId="12" borderId="10" xfId="0" applyFont="1" applyFill="1" applyBorder="1" applyAlignment="1">
      <alignment horizontal="center" vertical="center" wrapText="1"/>
    </xf>
    <xf numFmtId="0" fontId="30" fillId="12" borderId="10" xfId="0" applyFont="1" applyFill="1" applyBorder="1" applyAlignment="1">
      <alignment horizontal="center" vertical="center" wrapText="1"/>
    </xf>
    <xf numFmtId="1" fontId="30" fillId="12" borderId="10" xfId="0" applyNumberFormat="1" applyFont="1" applyFill="1" applyBorder="1" applyAlignment="1">
      <alignment horizontal="center" vertical="center" wrapText="1"/>
    </xf>
    <xf numFmtId="3" fontId="30" fillId="12" borderId="10" xfId="0" applyNumberFormat="1" applyFont="1" applyFill="1" applyBorder="1" applyAlignment="1">
      <alignment horizontal="center" vertical="center" wrapText="1"/>
    </xf>
    <xf numFmtId="3" fontId="30" fillId="0" borderId="10" xfId="0" applyNumberFormat="1" applyFont="1" applyBorder="1" applyAlignment="1">
      <alignment horizontal="center" vertical="center"/>
    </xf>
    <xf numFmtId="3" fontId="30" fillId="13" borderId="10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0" fillId="0" borderId="0" xfId="0" applyNumberFormat="1"/>
    <xf numFmtId="3" fontId="32" fillId="0" borderId="10" xfId="0" applyNumberFormat="1" applyFont="1" applyBorder="1" applyAlignment="1">
      <alignment horizontal="center" vertical="center"/>
    </xf>
    <xf numFmtId="3" fontId="33" fillId="0" borderId="10" xfId="0" applyNumberFormat="1" applyFont="1" applyBorder="1" applyAlignment="1">
      <alignment horizontal="center" vertical="center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" fontId="31" fillId="14" borderId="20" xfId="0" applyNumberFormat="1" applyFont="1" applyFill="1" applyBorder="1" applyAlignment="1">
      <alignment horizontal="center" vertical="center" wrapText="1"/>
    </xf>
    <xf numFmtId="1" fontId="31" fillId="14" borderId="21" xfId="0" applyNumberFormat="1" applyFont="1" applyFill="1" applyBorder="1" applyAlignment="1">
      <alignment horizontal="center" vertical="center" wrapText="1"/>
    </xf>
    <xf numFmtId="3" fontId="31" fillId="14" borderId="20" xfId="0" applyNumberFormat="1" applyFont="1" applyFill="1" applyBorder="1" applyAlignment="1">
      <alignment horizontal="center" vertical="center"/>
    </xf>
    <xf numFmtId="3" fontId="31" fillId="14" borderId="22" xfId="0" applyNumberFormat="1" applyFont="1" applyFill="1" applyBorder="1" applyAlignment="1">
      <alignment horizontal="center" vertical="center"/>
    </xf>
    <xf numFmtId="3" fontId="31" fillId="14" borderId="21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" fontId="30" fillId="12" borderId="20" xfId="0" applyNumberFormat="1" applyFont="1" applyFill="1" applyBorder="1" applyAlignment="1">
      <alignment horizontal="center" vertical="center" wrapText="1"/>
    </xf>
    <xf numFmtId="1" fontId="30" fillId="12" borderId="2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33"/>
  <sheetViews>
    <sheetView tabSelected="1"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86</v>
      </c>
      <c r="H1" s="6" t="s">
        <v>6</v>
      </c>
      <c r="I1" s="5" t="s">
        <v>7</v>
      </c>
      <c r="J1" s="7" t="s">
        <v>8</v>
      </c>
      <c r="K1" s="5" t="s">
        <v>9</v>
      </c>
      <c r="L1" s="5" t="s">
        <v>10</v>
      </c>
    </row>
    <row r="2" spans="1:12" x14ac:dyDescent="0.25">
      <c r="A2" s="9" t="s">
        <v>11</v>
      </c>
      <c r="B2" s="10">
        <v>1</v>
      </c>
      <c r="C2" s="10">
        <v>7</v>
      </c>
      <c r="D2" s="10">
        <v>2025</v>
      </c>
      <c r="E2" s="4">
        <f>Electricity!E23/31</f>
        <v>45991.112903225803</v>
      </c>
      <c r="F2" s="11">
        <v>0.2</v>
      </c>
      <c r="G2" s="4">
        <f>LPG!C13/31</f>
        <v>2578.3000000000002</v>
      </c>
      <c r="H2" s="11">
        <v>1.51</v>
      </c>
      <c r="I2" s="4">
        <f>Water!E17/31</f>
        <v>271.18516129032258</v>
      </c>
      <c r="J2" s="11">
        <v>7.84</v>
      </c>
      <c r="K2" s="4">
        <f>'Occupied &amp; No. of Guest'!B3</f>
        <v>338</v>
      </c>
      <c r="L2" s="4">
        <f>'Occupied &amp; No. of Guest'!C3</f>
        <v>512</v>
      </c>
    </row>
    <row r="3" spans="1:12" x14ac:dyDescent="0.25">
      <c r="A3" s="9" t="s">
        <v>11</v>
      </c>
      <c r="B3" s="10">
        <f>B2+1</f>
        <v>2</v>
      </c>
      <c r="C3" s="10">
        <v>7</v>
      </c>
      <c r="D3" s="10">
        <v>2025</v>
      </c>
      <c r="E3" s="4">
        <v>45991.112903225803</v>
      </c>
      <c r="F3" s="11">
        <v>0.2</v>
      </c>
      <c r="G3" s="4">
        <v>2578.3000000000002</v>
      </c>
      <c r="H3" s="11">
        <v>1.51</v>
      </c>
      <c r="I3" s="4">
        <v>271.18516129032258</v>
      </c>
      <c r="J3" s="11">
        <v>7.84</v>
      </c>
      <c r="K3" s="4">
        <f>'Occupied &amp; No. of Guest'!B4</f>
        <v>330</v>
      </c>
      <c r="L3" s="4">
        <f>'Occupied &amp; No. of Guest'!C4</f>
        <v>492</v>
      </c>
    </row>
    <row r="4" spans="1:12" x14ac:dyDescent="0.25">
      <c r="A4" s="9" t="s">
        <v>11</v>
      </c>
      <c r="B4" s="10">
        <f t="shared" ref="B4:B32" si="0">B3+1</f>
        <v>3</v>
      </c>
      <c r="C4" s="10">
        <v>7</v>
      </c>
      <c r="D4" s="10">
        <v>2025</v>
      </c>
      <c r="E4" s="4">
        <v>45991.112903225803</v>
      </c>
      <c r="F4" s="11">
        <v>0.2</v>
      </c>
      <c r="G4" s="4">
        <v>2578.3000000000002</v>
      </c>
      <c r="H4" s="11">
        <v>1.51</v>
      </c>
      <c r="I4" s="4">
        <v>271.18516129032258</v>
      </c>
      <c r="J4" s="11">
        <v>7.84</v>
      </c>
      <c r="K4" s="4">
        <f>'Occupied &amp; No. of Guest'!B5</f>
        <v>326</v>
      </c>
      <c r="L4" s="4">
        <f>'Occupied &amp; No. of Guest'!C5</f>
        <v>491</v>
      </c>
    </row>
    <row r="5" spans="1:12" x14ac:dyDescent="0.25">
      <c r="A5" s="9" t="s">
        <v>11</v>
      </c>
      <c r="B5" s="10">
        <f t="shared" si="0"/>
        <v>4</v>
      </c>
      <c r="C5" s="10">
        <v>7</v>
      </c>
      <c r="D5" s="10">
        <v>2025</v>
      </c>
      <c r="E5" s="4">
        <v>45991.112903225803</v>
      </c>
      <c r="F5" s="11">
        <v>0.2</v>
      </c>
      <c r="G5" s="4">
        <v>2578.3000000000002</v>
      </c>
      <c r="H5" s="11">
        <v>1.51</v>
      </c>
      <c r="I5" s="4">
        <v>271.18516129032258</v>
      </c>
      <c r="J5" s="11">
        <v>7.84</v>
      </c>
      <c r="K5" s="4">
        <f>'Occupied &amp; No. of Guest'!B6</f>
        <v>311</v>
      </c>
      <c r="L5" s="4">
        <f>'Occupied &amp; No. of Guest'!C6</f>
        <v>493</v>
      </c>
    </row>
    <row r="6" spans="1:12" x14ac:dyDescent="0.25">
      <c r="A6" s="9" t="s">
        <v>11</v>
      </c>
      <c r="B6" s="10">
        <f t="shared" si="0"/>
        <v>5</v>
      </c>
      <c r="C6" s="10">
        <v>7</v>
      </c>
      <c r="D6" s="10">
        <v>2025</v>
      </c>
      <c r="E6" s="4">
        <v>45991.112903225803</v>
      </c>
      <c r="F6" s="11">
        <v>0.2</v>
      </c>
      <c r="G6" s="4">
        <v>2578.3000000000002</v>
      </c>
      <c r="H6" s="11">
        <v>1.51</v>
      </c>
      <c r="I6" s="4">
        <v>271.18516129032258</v>
      </c>
      <c r="J6" s="11">
        <v>7.84</v>
      </c>
      <c r="K6" s="4">
        <f>'Occupied &amp; No. of Guest'!B7</f>
        <v>319</v>
      </c>
      <c r="L6" s="4">
        <f>'Occupied &amp; No. of Guest'!C7</f>
        <v>492</v>
      </c>
    </row>
    <row r="7" spans="1:12" x14ac:dyDescent="0.25">
      <c r="A7" s="9" t="s">
        <v>11</v>
      </c>
      <c r="B7" s="10">
        <f t="shared" si="0"/>
        <v>6</v>
      </c>
      <c r="C7" s="10">
        <v>7</v>
      </c>
      <c r="D7" s="10">
        <v>2025</v>
      </c>
      <c r="E7" s="4">
        <v>45991.112903225803</v>
      </c>
      <c r="F7" s="11">
        <v>0.2</v>
      </c>
      <c r="G7" s="4">
        <v>2578.3000000000002</v>
      </c>
      <c r="H7" s="11">
        <v>1.51</v>
      </c>
      <c r="I7" s="4">
        <v>271.18516129032258</v>
      </c>
      <c r="J7" s="11">
        <v>7.84</v>
      </c>
      <c r="K7" s="4">
        <f>'Occupied &amp; No. of Guest'!B8</f>
        <v>318</v>
      </c>
      <c r="L7" s="4">
        <f>'Occupied &amp; No. of Guest'!C8</f>
        <v>464</v>
      </c>
    </row>
    <row r="8" spans="1:12" x14ac:dyDescent="0.25">
      <c r="A8" s="9" t="s">
        <v>11</v>
      </c>
      <c r="B8" s="10">
        <f t="shared" si="0"/>
        <v>7</v>
      </c>
      <c r="C8" s="10">
        <v>7</v>
      </c>
      <c r="D8" s="10">
        <v>2025</v>
      </c>
      <c r="E8" s="4">
        <v>45991.112903225803</v>
      </c>
      <c r="F8" s="11">
        <v>0.2</v>
      </c>
      <c r="G8" s="4">
        <v>2578.3000000000002</v>
      </c>
      <c r="H8" s="11">
        <v>1.51</v>
      </c>
      <c r="I8" s="4">
        <v>271.18516129032258</v>
      </c>
      <c r="J8" s="11">
        <v>7.84</v>
      </c>
      <c r="K8" s="4">
        <f>'Occupied &amp; No. of Guest'!B9</f>
        <v>354</v>
      </c>
      <c r="L8" s="4">
        <f>'Occupied &amp; No. of Guest'!C9</f>
        <v>529</v>
      </c>
    </row>
    <row r="9" spans="1:12" x14ac:dyDescent="0.25">
      <c r="A9" s="9" t="s">
        <v>11</v>
      </c>
      <c r="B9" s="10">
        <f t="shared" si="0"/>
        <v>8</v>
      </c>
      <c r="C9" s="10">
        <v>7</v>
      </c>
      <c r="D9" s="10">
        <v>2025</v>
      </c>
      <c r="E9" s="4">
        <v>45991.112903225803</v>
      </c>
      <c r="F9" s="11">
        <v>0.2</v>
      </c>
      <c r="G9" s="4">
        <v>2578.3000000000002</v>
      </c>
      <c r="H9" s="11">
        <v>1.51</v>
      </c>
      <c r="I9" s="4">
        <v>271.18516129032258</v>
      </c>
      <c r="J9" s="11">
        <v>7.84</v>
      </c>
      <c r="K9" s="4">
        <f>'Occupied &amp; No. of Guest'!B10</f>
        <v>372</v>
      </c>
      <c r="L9" s="4">
        <f>'Occupied &amp; No. of Guest'!C10</f>
        <v>585</v>
      </c>
    </row>
    <row r="10" spans="1:12" x14ac:dyDescent="0.25">
      <c r="A10" s="9" t="s">
        <v>11</v>
      </c>
      <c r="B10" s="10">
        <f t="shared" si="0"/>
        <v>9</v>
      </c>
      <c r="C10" s="10">
        <v>7</v>
      </c>
      <c r="D10" s="10">
        <v>2025</v>
      </c>
      <c r="E10" s="4">
        <v>45991.112903225803</v>
      </c>
      <c r="F10" s="11">
        <v>0.2</v>
      </c>
      <c r="G10" s="4">
        <v>2578.3000000000002</v>
      </c>
      <c r="H10" s="11">
        <v>1.51</v>
      </c>
      <c r="I10" s="4">
        <v>271.18516129032258</v>
      </c>
      <c r="J10" s="11">
        <v>7.84</v>
      </c>
      <c r="K10" s="4">
        <f>'Occupied &amp; No. of Guest'!B11</f>
        <v>372</v>
      </c>
      <c r="L10" s="4">
        <f>'Occupied &amp; No. of Guest'!C11</f>
        <v>552</v>
      </c>
    </row>
    <row r="11" spans="1:12" x14ac:dyDescent="0.25">
      <c r="A11" s="9" t="s">
        <v>11</v>
      </c>
      <c r="B11" s="10">
        <f t="shared" si="0"/>
        <v>10</v>
      </c>
      <c r="C11" s="10">
        <v>7</v>
      </c>
      <c r="D11" s="10">
        <v>2025</v>
      </c>
      <c r="E11" s="4">
        <v>45991.112903225803</v>
      </c>
      <c r="F11" s="11">
        <v>0.2</v>
      </c>
      <c r="G11" s="4">
        <v>2578.3000000000002</v>
      </c>
      <c r="H11" s="11">
        <v>1.51</v>
      </c>
      <c r="I11" s="4">
        <v>271.18516129032258</v>
      </c>
      <c r="J11" s="11">
        <v>7.84</v>
      </c>
      <c r="K11" s="4">
        <f>'Occupied &amp; No. of Guest'!B12</f>
        <v>326</v>
      </c>
      <c r="L11" s="4">
        <f>'Occupied &amp; No. of Guest'!C12</f>
        <v>488</v>
      </c>
    </row>
    <row r="12" spans="1:12" x14ac:dyDescent="0.25">
      <c r="A12" s="9" t="s">
        <v>11</v>
      </c>
      <c r="B12" s="10">
        <f t="shared" si="0"/>
        <v>11</v>
      </c>
      <c r="C12" s="10">
        <v>7</v>
      </c>
      <c r="D12" s="10">
        <v>2025</v>
      </c>
      <c r="E12" s="4">
        <v>45991.112903225803</v>
      </c>
      <c r="F12" s="11">
        <v>0.2</v>
      </c>
      <c r="G12" s="4">
        <v>2578.3000000000002</v>
      </c>
      <c r="H12" s="11">
        <v>1.51</v>
      </c>
      <c r="I12" s="4">
        <v>271.18516129032258</v>
      </c>
      <c r="J12" s="11">
        <v>7.84</v>
      </c>
      <c r="K12" s="4">
        <f>'Occupied &amp; No. of Guest'!B13</f>
        <v>335</v>
      </c>
      <c r="L12" s="4">
        <f>'Occupied &amp; No. of Guest'!C13</f>
        <v>518</v>
      </c>
    </row>
    <row r="13" spans="1:12" x14ac:dyDescent="0.25">
      <c r="A13" s="9" t="s">
        <v>11</v>
      </c>
      <c r="B13" s="10">
        <f t="shared" si="0"/>
        <v>12</v>
      </c>
      <c r="C13" s="10">
        <v>7</v>
      </c>
      <c r="D13" s="10">
        <v>2025</v>
      </c>
      <c r="E13" s="4">
        <v>45991.112903225803</v>
      </c>
      <c r="F13" s="11">
        <v>0.2</v>
      </c>
      <c r="G13" s="4">
        <v>2578.3000000000002</v>
      </c>
      <c r="H13" s="11">
        <v>1.51</v>
      </c>
      <c r="I13" s="4">
        <v>271.18516129032258</v>
      </c>
      <c r="J13" s="11">
        <v>7.84</v>
      </c>
      <c r="K13" s="4">
        <f>'Occupied &amp; No. of Guest'!B14</f>
        <v>333</v>
      </c>
      <c r="L13" s="4">
        <f>'Occupied &amp; No. of Guest'!C14</f>
        <v>523</v>
      </c>
    </row>
    <row r="14" spans="1:12" x14ac:dyDescent="0.25">
      <c r="A14" s="9" t="s">
        <v>11</v>
      </c>
      <c r="B14" s="10">
        <f t="shared" si="0"/>
        <v>13</v>
      </c>
      <c r="C14" s="10">
        <v>7</v>
      </c>
      <c r="D14" s="10">
        <v>2025</v>
      </c>
      <c r="E14" s="4">
        <v>45991.112903225803</v>
      </c>
      <c r="F14" s="11">
        <v>0.2</v>
      </c>
      <c r="G14" s="4">
        <v>2578.3000000000002</v>
      </c>
      <c r="H14" s="11">
        <v>1.51</v>
      </c>
      <c r="I14" s="4">
        <v>271.18516129032258</v>
      </c>
      <c r="J14" s="11">
        <v>7.84</v>
      </c>
      <c r="K14" s="4">
        <f>'Occupied &amp; No. of Guest'!B15</f>
        <v>385</v>
      </c>
      <c r="L14" s="4">
        <f>'Occupied &amp; No. of Guest'!C15</f>
        <v>567</v>
      </c>
    </row>
    <row r="15" spans="1:12" x14ac:dyDescent="0.25">
      <c r="A15" s="9" t="s">
        <v>11</v>
      </c>
      <c r="B15" s="10">
        <f t="shared" si="0"/>
        <v>14</v>
      </c>
      <c r="C15" s="10">
        <v>7</v>
      </c>
      <c r="D15" s="10">
        <v>2025</v>
      </c>
      <c r="E15" s="4">
        <v>45991.112903225803</v>
      </c>
      <c r="F15" s="11">
        <v>0.2</v>
      </c>
      <c r="G15" s="4">
        <v>2578.3000000000002</v>
      </c>
      <c r="H15" s="11">
        <v>1.51</v>
      </c>
      <c r="I15" s="4">
        <v>271.18516129032258</v>
      </c>
      <c r="J15" s="11">
        <v>7.84</v>
      </c>
      <c r="K15" s="4">
        <f>'Occupied &amp; No. of Guest'!B16</f>
        <v>465</v>
      </c>
      <c r="L15" s="4">
        <f>'Occupied &amp; No. of Guest'!C16</f>
        <v>682</v>
      </c>
    </row>
    <row r="16" spans="1:12" x14ac:dyDescent="0.25">
      <c r="A16" s="9" t="s">
        <v>11</v>
      </c>
      <c r="B16" s="10">
        <f t="shared" si="0"/>
        <v>15</v>
      </c>
      <c r="C16" s="10">
        <v>7</v>
      </c>
      <c r="D16" s="10">
        <v>2025</v>
      </c>
      <c r="E16" s="4">
        <v>45991.112903225803</v>
      </c>
      <c r="F16" s="11">
        <v>0.2</v>
      </c>
      <c r="G16" s="4">
        <v>2578.3000000000002</v>
      </c>
      <c r="H16" s="11">
        <v>1.51</v>
      </c>
      <c r="I16" s="4">
        <v>271.18516129032258</v>
      </c>
      <c r="J16" s="11">
        <v>7.84</v>
      </c>
      <c r="K16" s="4">
        <f>'Occupied &amp; No. of Guest'!B17</f>
        <v>478</v>
      </c>
      <c r="L16" s="4">
        <f>'Occupied &amp; No. of Guest'!C17</f>
        <v>703</v>
      </c>
    </row>
    <row r="17" spans="1:12" x14ac:dyDescent="0.25">
      <c r="A17" s="9" t="s">
        <v>11</v>
      </c>
      <c r="B17" s="10">
        <f t="shared" si="0"/>
        <v>16</v>
      </c>
      <c r="C17" s="10">
        <v>7</v>
      </c>
      <c r="D17" s="10">
        <v>2025</v>
      </c>
      <c r="E17" s="4">
        <v>45991.112903225803</v>
      </c>
      <c r="F17" s="11">
        <v>0.2</v>
      </c>
      <c r="G17" s="4">
        <v>2578.3000000000002</v>
      </c>
      <c r="H17" s="11">
        <v>1.51</v>
      </c>
      <c r="I17" s="4">
        <v>271.18516129032258</v>
      </c>
      <c r="J17" s="11">
        <v>7.84</v>
      </c>
      <c r="K17" s="4">
        <f>'Occupied &amp; No. of Guest'!B18</f>
        <v>397</v>
      </c>
      <c r="L17" s="4">
        <f>'Occupied &amp; No. of Guest'!C18</f>
        <v>577</v>
      </c>
    </row>
    <row r="18" spans="1:12" x14ac:dyDescent="0.25">
      <c r="A18" s="9" t="s">
        <v>11</v>
      </c>
      <c r="B18" s="10">
        <f t="shared" si="0"/>
        <v>17</v>
      </c>
      <c r="C18" s="10">
        <v>7</v>
      </c>
      <c r="D18" s="10">
        <v>2025</v>
      </c>
      <c r="E18" s="4">
        <v>45991.112903225803</v>
      </c>
      <c r="F18" s="11">
        <v>0.2</v>
      </c>
      <c r="G18" s="4">
        <v>2578.3000000000002</v>
      </c>
      <c r="H18" s="11">
        <v>1.51</v>
      </c>
      <c r="I18" s="4">
        <v>271.18516129032258</v>
      </c>
      <c r="J18" s="11">
        <v>7.84</v>
      </c>
      <c r="K18" s="4">
        <f>'Occupied &amp; No. of Guest'!B19</f>
        <v>352</v>
      </c>
      <c r="L18" s="4">
        <f>'Occupied &amp; No. of Guest'!C19</f>
        <v>528</v>
      </c>
    </row>
    <row r="19" spans="1:12" x14ac:dyDescent="0.25">
      <c r="A19" s="9" t="s">
        <v>11</v>
      </c>
      <c r="B19" s="10">
        <f t="shared" si="0"/>
        <v>18</v>
      </c>
      <c r="C19" s="10">
        <v>7</v>
      </c>
      <c r="D19" s="10">
        <v>2025</v>
      </c>
      <c r="E19" s="4">
        <v>45991.112903225803</v>
      </c>
      <c r="F19" s="11">
        <v>0.2</v>
      </c>
      <c r="G19" s="4">
        <v>2578.3000000000002</v>
      </c>
      <c r="H19" s="11">
        <v>1.51</v>
      </c>
      <c r="I19" s="4">
        <v>271.18516129032258</v>
      </c>
      <c r="J19" s="11">
        <v>7.84</v>
      </c>
      <c r="K19" s="4">
        <f>'Occupied &amp; No. of Guest'!B20</f>
        <v>320</v>
      </c>
      <c r="L19" s="4">
        <f>'Occupied &amp; No. of Guest'!C20</f>
        <v>512</v>
      </c>
    </row>
    <row r="20" spans="1:12" x14ac:dyDescent="0.25">
      <c r="A20" s="9" t="s">
        <v>11</v>
      </c>
      <c r="B20" s="10">
        <f t="shared" si="0"/>
        <v>19</v>
      </c>
      <c r="C20" s="10">
        <v>7</v>
      </c>
      <c r="D20" s="10">
        <v>2025</v>
      </c>
      <c r="E20" s="4">
        <v>45991.112903225803</v>
      </c>
      <c r="F20" s="11">
        <v>0.2</v>
      </c>
      <c r="G20" s="4">
        <v>2578.3000000000002</v>
      </c>
      <c r="H20" s="11">
        <v>1.51</v>
      </c>
      <c r="I20" s="4">
        <v>271.18516129032258</v>
      </c>
      <c r="J20" s="11">
        <v>7.84</v>
      </c>
      <c r="K20" s="4">
        <f>'Occupied &amp; No. of Guest'!B21</f>
        <v>325</v>
      </c>
      <c r="L20" s="4">
        <f>'Occupied &amp; No. of Guest'!C21</f>
        <v>527</v>
      </c>
    </row>
    <row r="21" spans="1:12" x14ac:dyDescent="0.25">
      <c r="A21" s="9" t="s">
        <v>11</v>
      </c>
      <c r="B21" s="10">
        <f t="shared" si="0"/>
        <v>20</v>
      </c>
      <c r="C21" s="10">
        <v>7</v>
      </c>
      <c r="D21" s="10">
        <v>2025</v>
      </c>
      <c r="E21" s="4">
        <v>45991.112903225803</v>
      </c>
      <c r="F21" s="11">
        <v>0.2</v>
      </c>
      <c r="G21" s="4">
        <v>2578.3000000000002</v>
      </c>
      <c r="H21" s="11">
        <v>1.51</v>
      </c>
      <c r="I21" s="4">
        <v>271.18516129032258</v>
      </c>
      <c r="J21" s="11">
        <v>7.84</v>
      </c>
      <c r="K21" s="4">
        <f>'Occupied &amp; No. of Guest'!B22</f>
        <v>347</v>
      </c>
      <c r="L21" s="4">
        <f>'Occupied &amp; No. of Guest'!C22</f>
        <v>541</v>
      </c>
    </row>
    <row r="22" spans="1:12" x14ac:dyDescent="0.25">
      <c r="A22" s="9" t="s">
        <v>11</v>
      </c>
      <c r="B22" s="10">
        <f t="shared" si="0"/>
        <v>21</v>
      </c>
      <c r="C22" s="10">
        <v>7</v>
      </c>
      <c r="D22" s="10">
        <v>2025</v>
      </c>
      <c r="E22" s="4">
        <v>45991.112903225803</v>
      </c>
      <c r="F22" s="11">
        <v>0.2</v>
      </c>
      <c r="G22" s="4">
        <v>2578.3000000000002</v>
      </c>
      <c r="H22" s="11">
        <v>1.51</v>
      </c>
      <c r="I22" s="4">
        <v>271.18516129032258</v>
      </c>
      <c r="J22" s="11">
        <v>7.84</v>
      </c>
      <c r="K22" s="4">
        <f>'Occupied &amp; No. of Guest'!B23</f>
        <v>386</v>
      </c>
      <c r="L22" s="4">
        <f>'Occupied &amp; No. of Guest'!C23</f>
        <v>589</v>
      </c>
    </row>
    <row r="23" spans="1:12" x14ac:dyDescent="0.25">
      <c r="A23" s="9" t="s">
        <v>11</v>
      </c>
      <c r="B23" s="10">
        <f t="shared" si="0"/>
        <v>22</v>
      </c>
      <c r="C23" s="10">
        <v>7</v>
      </c>
      <c r="D23" s="10">
        <v>2025</v>
      </c>
      <c r="E23" s="4">
        <v>45991.112903225803</v>
      </c>
      <c r="F23" s="11">
        <v>0.2</v>
      </c>
      <c r="G23" s="4">
        <v>2578.3000000000002</v>
      </c>
      <c r="H23" s="11">
        <v>1.51</v>
      </c>
      <c r="I23" s="4">
        <v>271.18516129032258</v>
      </c>
      <c r="J23" s="11">
        <v>7.84</v>
      </c>
      <c r="K23" s="4">
        <f>'Occupied &amp; No. of Guest'!B24</f>
        <v>437</v>
      </c>
      <c r="L23" s="4">
        <f>'Occupied &amp; No. of Guest'!C24</f>
        <v>694</v>
      </c>
    </row>
    <row r="24" spans="1:12" x14ac:dyDescent="0.25">
      <c r="A24" s="9" t="s">
        <v>11</v>
      </c>
      <c r="B24" s="10">
        <f t="shared" si="0"/>
        <v>23</v>
      </c>
      <c r="C24" s="10">
        <v>7</v>
      </c>
      <c r="D24" s="10">
        <v>2025</v>
      </c>
      <c r="E24" s="4">
        <v>45991.112903225803</v>
      </c>
      <c r="F24" s="11">
        <v>0.2</v>
      </c>
      <c r="G24" s="4">
        <v>2578.3000000000002</v>
      </c>
      <c r="H24" s="11">
        <v>1.51</v>
      </c>
      <c r="I24" s="4">
        <v>271.18516129032258</v>
      </c>
      <c r="J24" s="11">
        <v>7.84</v>
      </c>
      <c r="K24" s="4">
        <f>'Occupied &amp; No. of Guest'!B25</f>
        <v>440</v>
      </c>
      <c r="L24" s="4">
        <f>'Occupied &amp; No. of Guest'!C25</f>
        <v>688</v>
      </c>
    </row>
    <row r="25" spans="1:12" x14ac:dyDescent="0.25">
      <c r="A25" s="9" t="s">
        <v>11</v>
      </c>
      <c r="B25" s="10">
        <f t="shared" si="0"/>
        <v>24</v>
      </c>
      <c r="C25" s="10">
        <v>7</v>
      </c>
      <c r="D25" s="10">
        <v>2025</v>
      </c>
      <c r="E25" s="4">
        <v>45991.112903225803</v>
      </c>
      <c r="F25" s="11">
        <v>0.2</v>
      </c>
      <c r="G25" s="4">
        <v>2578.3000000000002</v>
      </c>
      <c r="H25" s="11">
        <v>1.51</v>
      </c>
      <c r="I25" s="4">
        <v>271.18516129032258</v>
      </c>
      <c r="J25" s="11">
        <v>7.84</v>
      </c>
      <c r="K25" s="4">
        <f>'Occupied &amp; No. of Guest'!B26</f>
        <v>395</v>
      </c>
      <c r="L25" s="4">
        <f>'Occupied &amp; No. of Guest'!C26</f>
        <v>618</v>
      </c>
    </row>
    <row r="26" spans="1:12" x14ac:dyDescent="0.25">
      <c r="A26" s="9" t="s">
        <v>11</v>
      </c>
      <c r="B26" s="10">
        <f>B25+1</f>
        <v>25</v>
      </c>
      <c r="C26" s="10">
        <v>7</v>
      </c>
      <c r="D26" s="10">
        <v>2025</v>
      </c>
      <c r="E26" s="4">
        <v>45991.112903225803</v>
      </c>
      <c r="F26" s="11">
        <v>0.2</v>
      </c>
      <c r="G26" s="4">
        <v>2578.3000000000002</v>
      </c>
      <c r="H26" s="11">
        <v>1.51</v>
      </c>
      <c r="I26" s="4">
        <v>271.18516129032258</v>
      </c>
      <c r="J26" s="11">
        <v>7.84</v>
      </c>
      <c r="K26" s="4">
        <f>'Occupied &amp; No. of Guest'!B27</f>
        <v>354</v>
      </c>
      <c r="L26" s="4">
        <f>'Occupied &amp; No. of Guest'!C27</f>
        <v>592</v>
      </c>
    </row>
    <row r="27" spans="1:12" x14ac:dyDescent="0.25">
      <c r="A27" s="9" t="s">
        <v>11</v>
      </c>
      <c r="B27" s="10">
        <f t="shared" si="0"/>
        <v>26</v>
      </c>
      <c r="C27" s="10">
        <v>7</v>
      </c>
      <c r="D27" s="10">
        <v>2025</v>
      </c>
      <c r="E27" s="4">
        <v>45991.112903225803</v>
      </c>
      <c r="F27" s="11">
        <v>0.2</v>
      </c>
      <c r="G27" s="4">
        <v>2578.3000000000002</v>
      </c>
      <c r="H27" s="11">
        <v>1.51</v>
      </c>
      <c r="I27" s="4">
        <v>271.18516129032258</v>
      </c>
      <c r="J27" s="11">
        <v>7.84</v>
      </c>
      <c r="K27" s="4">
        <f>'Occupied &amp; No. of Guest'!B28</f>
        <v>363</v>
      </c>
      <c r="L27" s="4">
        <f>'Occupied &amp; No. of Guest'!C28</f>
        <v>604</v>
      </c>
    </row>
    <row r="28" spans="1:12" x14ac:dyDescent="0.25">
      <c r="A28" s="9" t="s">
        <v>11</v>
      </c>
      <c r="B28" s="10">
        <f t="shared" si="0"/>
        <v>27</v>
      </c>
      <c r="C28" s="10">
        <v>7</v>
      </c>
      <c r="D28" s="10">
        <v>2025</v>
      </c>
      <c r="E28" s="4">
        <v>45991.112903225803</v>
      </c>
      <c r="F28" s="11">
        <v>0.2</v>
      </c>
      <c r="G28" s="4">
        <v>2578.3000000000002</v>
      </c>
      <c r="H28" s="11">
        <v>1.51</v>
      </c>
      <c r="I28" s="4">
        <v>271.18516129032258</v>
      </c>
      <c r="J28" s="11">
        <v>7.84</v>
      </c>
      <c r="K28" s="4">
        <f>'Occupied &amp; No. of Guest'!B29</f>
        <v>419</v>
      </c>
      <c r="L28" s="4">
        <f>'Occupied &amp; No. of Guest'!C29</f>
        <v>665</v>
      </c>
    </row>
    <row r="29" spans="1:12" x14ac:dyDescent="0.25">
      <c r="A29" s="9" t="s">
        <v>11</v>
      </c>
      <c r="B29" s="10">
        <f t="shared" si="0"/>
        <v>28</v>
      </c>
      <c r="C29" s="10">
        <v>7</v>
      </c>
      <c r="D29" s="10">
        <v>2025</v>
      </c>
      <c r="E29" s="4">
        <v>45991.112903225803</v>
      </c>
      <c r="F29" s="11">
        <v>0.2</v>
      </c>
      <c r="G29" s="4">
        <v>2578.3000000000002</v>
      </c>
      <c r="H29" s="11">
        <v>1.51</v>
      </c>
      <c r="I29" s="4">
        <v>271.18516129032258</v>
      </c>
      <c r="J29" s="11">
        <v>7.84</v>
      </c>
      <c r="K29" s="4">
        <f>'Occupied &amp; No. of Guest'!B30</f>
        <v>478</v>
      </c>
      <c r="L29" s="4">
        <f>'Occupied &amp; No. of Guest'!C30</f>
        <v>781</v>
      </c>
    </row>
    <row r="30" spans="1:12" x14ac:dyDescent="0.25">
      <c r="A30" s="9" t="s">
        <v>11</v>
      </c>
      <c r="B30" s="10">
        <f t="shared" si="0"/>
        <v>29</v>
      </c>
      <c r="C30" s="10">
        <v>7</v>
      </c>
      <c r="D30" s="10">
        <v>2025</v>
      </c>
      <c r="E30" s="4">
        <v>45991.112903225803</v>
      </c>
      <c r="F30" s="11">
        <v>0.2</v>
      </c>
      <c r="G30" s="4">
        <v>2578.3000000000002</v>
      </c>
      <c r="H30" s="11">
        <v>1.51</v>
      </c>
      <c r="I30" s="4">
        <v>271.18516129032258</v>
      </c>
      <c r="J30" s="11">
        <v>7.84</v>
      </c>
      <c r="K30" s="4">
        <f>'Occupied &amp; No. of Guest'!B31</f>
        <v>475</v>
      </c>
      <c r="L30" s="4">
        <f>'Occupied &amp; No. of Guest'!C31</f>
        <v>771</v>
      </c>
    </row>
    <row r="31" spans="1:12" x14ac:dyDescent="0.25">
      <c r="A31" s="9" t="s">
        <v>11</v>
      </c>
      <c r="B31" s="10">
        <f t="shared" si="0"/>
        <v>30</v>
      </c>
      <c r="C31" s="10">
        <v>7</v>
      </c>
      <c r="D31" s="10">
        <v>2025</v>
      </c>
      <c r="E31" s="4">
        <v>45991.112903225803</v>
      </c>
      <c r="F31" s="11">
        <v>0.2</v>
      </c>
      <c r="G31" s="4">
        <v>2578.3000000000002</v>
      </c>
      <c r="H31" s="11">
        <v>1.51</v>
      </c>
      <c r="I31" s="4">
        <v>271.18516129032258</v>
      </c>
      <c r="J31" s="11">
        <v>7.84</v>
      </c>
      <c r="K31" s="4">
        <f>'Occupied &amp; No. of Guest'!B32</f>
        <v>453</v>
      </c>
      <c r="L31" s="4">
        <f>'Occupied &amp; No. of Guest'!C32</f>
        <v>703</v>
      </c>
    </row>
    <row r="32" spans="1:12" x14ac:dyDescent="0.25">
      <c r="A32" s="9" t="s">
        <v>11</v>
      </c>
      <c r="B32" s="10">
        <f t="shared" si="0"/>
        <v>31</v>
      </c>
      <c r="C32" s="10">
        <v>7</v>
      </c>
      <c r="D32" s="10">
        <v>2025</v>
      </c>
      <c r="E32" s="4">
        <v>45991.112903225803</v>
      </c>
      <c r="F32" s="11">
        <v>0.2</v>
      </c>
      <c r="G32" s="4">
        <v>2578.3000000000002</v>
      </c>
      <c r="H32" s="11">
        <v>1.51</v>
      </c>
      <c r="I32" s="4">
        <v>271.18516129032258</v>
      </c>
      <c r="J32" s="11">
        <v>7.84</v>
      </c>
      <c r="K32" s="4">
        <f>'Occupied &amp; No. of Guest'!B33</f>
        <v>398</v>
      </c>
      <c r="L32" s="4">
        <f>'Occupied &amp; No. of Guest'!C33</f>
        <v>632</v>
      </c>
    </row>
    <row r="33" spans="7:7" x14ac:dyDescent="0.25">
      <c r="G33" s="4"/>
    </row>
  </sheetData>
  <pageMargins left="0.7" right="0.7" top="0.75" bottom="0.75" header="0.3" footer="0.3"/>
  <pageSetup paperSize="9" scale="81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3"/>
  <sheetViews>
    <sheetView zoomScale="115" zoomScaleNormal="115" zoomScaleSheetLayoutView="85" workbookViewId="0">
      <pane xSplit="4" ySplit="4" topLeftCell="E12" activePane="bottomRight" state="frozen"/>
      <selection pane="topRight" activeCell="E1" sqref="E1"/>
      <selection pane="bottomLeft" activeCell="A5" sqref="A5"/>
      <selection pane="bottomRight" activeCell="E23" sqref="E23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0" t="s">
        <v>91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</row>
    <row r="3" spans="1:67" s="14" customFormat="1" ht="29.25" customHeight="1" thickBot="1" x14ac:dyDescent="0.3"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</row>
    <row r="4" spans="1:67" ht="39" thickBot="1" x14ac:dyDescent="0.25">
      <c r="A4" s="15" t="s">
        <v>12</v>
      </c>
      <c r="B4" s="16" t="s">
        <v>13</v>
      </c>
      <c r="C4" s="17" t="s">
        <v>14</v>
      </c>
      <c r="D4" s="18" t="s">
        <v>15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2">
        <v>1</v>
      </c>
      <c r="B5" s="20" t="s">
        <v>16</v>
      </c>
      <c r="C5" s="84" t="s">
        <v>17</v>
      </c>
      <c r="D5" s="21">
        <v>18779216</v>
      </c>
      <c r="E5" s="21">
        <v>18800901</v>
      </c>
      <c r="F5" s="21">
        <v>18823444</v>
      </c>
      <c r="G5" s="21">
        <v>18846010</v>
      </c>
      <c r="H5" s="21">
        <v>18868990</v>
      </c>
      <c r="I5" s="21">
        <v>18891817</v>
      </c>
      <c r="J5" s="21">
        <v>18913335</v>
      </c>
      <c r="K5" s="21">
        <v>18935298</v>
      </c>
      <c r="L5" s="21">
        <v>18957451</v>
      </c>
      <c r="M5" s="21">
        <v>18979465</v>
      </c>
      <c r="N5" s="21">
        <v>19001918</v>
      </c>
      <c r="O5" s="21">
        <v>19024207</v>
      </c>
      <c r="P5" s="21">
        <v>19046641</v>
      </c>
      <c r="Q5" s="21">
        <v>19068078</v>
      </c>
      <c r="R5" s="21">
        <v>19090016</v>
      </c>
      <c r="S5" s="21">
        <v>19113121</v>
      </c>
      <c r="T5" s="21">
        <v>19136097</v>
      </c>
      <c r="U5" s="21">
        <v>19158879</v>
      </c>
      <c r="V5" s="21">
        <v>19181625</v>
      </c>
      <c r="W5" s="21">
        <v>19204381</v>
      </c>
      <c r="X5" s="21">
        <v>19225179</v>
      </c>
      <c r="Y5" s="21">
        <v>19247323</v>
      </c>
      <c r="Z5" s="21">
        <v>19269799</v>
      </c>
      <c r="AA5" s="21">
        <v>19292951</v>
      </c>
      <c r="AB5" s="21">
        <v>19316025</v>
      </c>
      <c r="AC5" s="21">
        <v>19338652</v>
      </c>
      <c r="AD5" s="21">
        <v>19360666</v>
      </c>
      <c r="AE5" s="21">
        <v>19383133</v>
      </c>
      <c r="AF5" s="21">
        <v>19406049</v>
      </c>
      <c r="AG5" s="21">
        <v>19429490</v>
      </c>
      <c r="AH5" s="21">
        <v>19452881</v>
      </c>
      <c r="AI5" s="21">
        <v>19475220</v>
      </c>
    </row>
    <row r="6" spans="1:67" s="24" customFormat="1" ht="21.75" customHeight="1" thickBot="1" x14ac:dyDescent="0.25">
      <c r="A6" s="83"/>
      <c r="B6" s="22"/>
      <c r="C6" s="85"/>
      <c r="D6" s="23"/>
      <c r="E6" s="23">
        <f t="shared" ref="E6:P12" si="0">E5-D5</f>
        <v>21685</v>
      </c>
      <c r="F6" s="23">
        <f t="shared" si="0"/>
        <v>22543</v>
      </c>
      <c r="G6" s="23">
        <f t="shared" si="0"/>
        <v>22566</v>
      </c>
      <c r="H6" s="23">
        <f t="shared" si="0"/>
        <v>22980</v>
      </c>
      <c r="I6" s="23">
        <f t="shared" si="0"/>
        <v>22827</v>
      </c>
      <c r="J6" s="23">
        <f t="shared" si="0"/>
        <v>21518</v>
      </c>
      <c r="K6" s="23">
        <f t="shared" si="0"/>
        <v>21963</v>
      </c>
      <c r="L6" s="23">
        <f t="shared" si="0"/>
        <v>22153</v>
      </c>
      <c r="M6" s="23">
        <f t="shared" si="0"/>
        <v>22014</v>
      </c>
      <c r="N6" s="23">
        <f t="shared" si="0"/>
        <v>22453</v>
      </c>
      <c r="O6" s="23">
        <f t="shared" si="0"/>
        <v>22289</v>
      </c>
      <c r="P6" s="23">
        <f t="shared" si="0"/>
        <v>22434</v>
      </c>
      <c r="Q6" s="23">
        <f t="shared" ref="Q6" si="1">Q5-P5</f>
        <v>21437</v>
      </c>
      <c r="R6" s="23">
        <f t="shared" ref="R6" si="2">R5-Q5</f>
        <v>21938</v>
      </c>
      <c r="S6" s="23">
        <f t="shared" ref="S6" si="3">S5-R5</f>
        <v>23105</v>
      </c>
      <c r="T6" s="23">
        <f t="shared" ref="T6" si="4">T5-S5</f>
        <v>22976</v>
      </c>
      <c r="U6" s="23">
        <f t="shared" ref="U6" si="5">U5-T5</f>
        <v>22782</v>
      </c>
      <c r="V6" s="23">
        <f t="shared" ref="V6" si="6">V5-U5</f>
        <v>22746</v>
      </c>
      <c r="W6" s="23">
        <f t="shared" ref="W6" si="7">W5-V5</f>
        <v>22756</v>
      </c>
      <c r="X6" s="23">
        <f t="shared" ref="X6" si="8">X5-W5</f>
        <v>20798</v>
      </c>
      <c r="Y6" s="23">
        <f t="shared" ref="Y6" si="9">Y5-X5</f>
        <v>22144</v>
      </c>
      <c r="Z6" s="23">
        <f t="shared" ref="Z6" si="10">Z5-Y5</f>
        <v>22476</v>
      </c>
      <c r="AA6" s="23">
        <f t="shared" ref="AA6" si="11">AA5-Z5</f>
        <v>23152</v>
      </c>
      <c r="AB6" s="23">
        <f t="shared" ref="AB6" si="12">AB5-AA5</f>
        <v>23074</v>
      </c>
      <c r="AC6" s="23">
        <f t="shared" ref="AC6" si="13">AC5-AB5</f>
        <v>22627</v>
      </c>
      <c r="AD6" s="23">
        <f t="shared" ref="AD6" si="14">AD5-AC5</f>
        <v>22014</v>
      </c>
      <c r="AE6" s="23">
        <f t="shared" ref="AE6" si="15">AE5-AD5</f>
        <v>22467</v>
      </c>
      <c r="AF6" s="23">
        <f t="shared" ref="AF6" si="16">AF5-AE5</f>
        <v>22916</v>
      </c>
      <c r="AG6" s="23">
        <f t="shared" ref="AG6:AI6" si="17">AG5-AF5</f>
        <v>23441</v>
      </c>
      <c r="AH6" s="23">
        <f t="shared" si="17"/>
        <v>23391</v>
      </c>
      <c r="AI6" s="23">
        <f t="shared" si="17"/>
        <v>22339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6">
        <v>2</v>
      </c>
      <c r="B7" s="25" t="s">
        <v>18</v>
      </c>
      <c r="C7" s="88" t="s">
        <v>19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87"/>
      <c r="B8" s="22"/>
      <c r="C8" s="85"/>
      <c r="D8" s="23"/>
      <c r="E8" s="23">
        <f t="shared" ref="E8:L8" si="18">E7-D7</f>
        <v>0</v>
      </c>
      <c r="F8" s="23">
        <f t="shared" si="18"/>
        <v>0</v>
      </c>
      <c r="G8" s="23">
        <f t="shared" si="18"/>
        <v>0</v>
      </c>
      <c r="H8" s="23">
        <f t="shared" si="18"/>
        <v>0</v>
      </c>
      <c r="I8" s="23">
        <f t="shared" si="18"/>
        <v>0</v>
      </c>
      <c r="J8" s="23">
        <f t="shared" si="18"/>
        <v>0</v>
      </c>
      <c r="K8" s="23">
        <f t="shared" si="18"/>
        <v>0</v>
      </c>
      <c r="L8" s="23">
        <f t="shared" si="18"/>
        <v>0</v>
      </c>
      <c r="M8" s="23">
        <f t="shared" ref="M8" si="19">M7-L7</f>
        <v>0</v>
      </c>
      <c r="N8" s="23">
        <f t="shared" ref="N8" si="20">N7-M7</f>
        <v>0</v>
      </c>
      <c r="O8" s="23">
        <f t="shared" si="0"/>
        <v>0</v>
      </c>
      <c r="P8" s="23">
        <f t="shared" si="0"/>
        <v>0</v>
      </c>
      <c r="Q8" s="23">
        <f t="shared" ref="Q8" si="21">Q7-P7</f>
        <v>0</v>
      </c>
      <c r="R8" s="23">
        <f t="shared" ref="R8" si="22">R7-Q7</f>
        <v>0</v>
      </c>
      <c r="S8" s="23">
        <f t="shared" ref="S8" si="23">S7-R7</f>
        <v>0</v>
      </c>
      <c r="T8" s="23">
        <f t="shared" ref="T8" si="24">T7-S7</f>
        <v>0</v>
      </c>
      <c r="U8" s="23">
        <f t="shared" ref="U8" si="25">U7-T7</f>
        <v>0</v>
      </c>
      <c r="V8" s="23">
        <f t="shared" ref="V8" si="26">V7-U7</f>
        <v>0</v>
      </c>
      <c r="W8" s="23">
        <f t="shared" ref="W8" si="27">W7-V7</f>
        <v>0</v>
      </c>
      <c r="X8" s="23">
        <f t="shared" ref="X8" si="28">X7-W7</f>
        <v>0</v>
      </c>
      <c r="Y8" s="23">
        <f t="shared" ref="Y8" si="29">Y7-X7</f>
        <v>0</v>
      </c>
      <c r="Z8" s="23">
        <f t="shared" ref="Z8" si="30">Z7-Y7</f>
        <v>0</v>
      </c>
      <c r="AA8" s="23">
        <f t="shared" ref="AA8" si="31">AA7-Z7</f>
        <v>0</v>
      </c>
      <c r="AB8" s="23">
        <f t="shared" ref="AB8" si="32">AB7-AA7</f>
        <v>0</v>
      </c>
      <c r="AC8" s="23">
        <f t="shared" ref="AC8" si="33">AC7-AB7</f>
        <v>0</v>
      </c>
      <c r="AD8" s="23">
        <f t="shared" ref="AD8" si="34">AD7-AC7</f>
        <v>0</v>
      </c>
      <c r="AE8" s="23">
        <f t="shared" ref="AE8" si="35">AE7-AD7</f>
        <v>0</v>
      </c>
      <c r="AF8" s="23">
        <f t="shared" ref="AF8" si="36">AF7-AE7</f>
        <v>0</v>
      </c>
      <c r="AG8" s="23">
        <f t="shared" ref="AG8:AI8" si="37">AG7-AF7</f>
        <v>0</v>
      </c>
      <c r="AH8" s="23">
        <f t="shared" si="37"/>
        <v>0</v>
      </c>
      <c r="AI8" s="23">
        <f t="shared" si="37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8">
        <v>3</v>
      </c>
      <c r="B9" s="36" t="s">
        <v>20</v>
      </c>
      <c r="C9" s="79" t="s">
        <v>21</v>
      </c>
      <c r="D9" s="21">
        <v>19892807</v>
      </c>
      <c r="E9" s="21">
        <v>19922854</v>
      </c>
      <c r="F9" s="21">
        <v>19959652</v>
      </c>
      <c r="G9" s="21">
        <v>19993560</v>
      </c>
      <c r="H9" s="21">
        <v>20026003</v>
      </c>
      <c r="I9" s="21">
        <v>20057318</v>
      </c>
      <c r="J9" s="21">
        <v>20086787</v>
      </c>
      <c r="K9" s="21">
        <v>20115532</v>
      </c>
      <c r="L9" s="21">
        <v>20136474</v>
      </c>
      <c r="M9" s="21">
        <v>20156802</v>
      </c>
      <c r="N9" s="21">
        <v>20181892</v>
      </c>
      <c r="O9" s="21">
        <v>20204395</v>
      </c>
      <c r="P9" s="21">
        <v>20223427</v>
      </c>
      <c r="Q9" s="21">
        <v>20241946</v>
      </c>
      <c r="R9" s="21">
        <v>20262068</v>
      </c>
      <c r="S9" s="21">
        <v>20281614</v>
      </c>
      <c r="T9" s="21">
        <v>20300716</v>
      </c>
      <c r="U9" s="21">
        <v>20320106</v>
      </c>
      <c r="V9" s="21">
        <v>20340182</v>
      </c>
      <c r="W9" s="21">
        <v>20361944</v>
      </c>
      <c r="X9" s="21">
        <v>20381846</v>
      </c>
      <c r="Y9" s="21">
        <v>20402002</v>
      </c>
      <c r="Z9" s="21">
        <v>20422093</v>
      </c>
      <c r="AA9" s="21">
        <v>20442531</v>
      </c>
      <c r="AB9" s="21">
        <v>20461954</v>
      </c>
      <c r="AC9" s="21">
        <v>20482078</v>
      </c>
      <c r="AD9" s="21">
        <v>20502006</v>
      </c>
      <c r="AE9" s="21">
        <v>20521612</v>
      </c>
      <c r="AF9" s="21">
        <v>20543788</v>
      </c>
      <c r="AG9" s="21">
        <v>20567036</v>
      </c>
      <c r="AH9" s="21">
        <v>20589012</v>
      </c>
      <c r="AI9" s="21">
        <v>20611668</v>
      </c>
    </row>
    <row r="10" spans="1:67" s="24" customFormat="1" ht="21.75" customHeight="1" thickBot="1" x14ac:dyDescent="0.25">
      <c r="A10" s="74"/>
      <c r="B10" s="37"/>
      <c r="C10" s="77"/>
      <c r="D10" s="23"/>
      <c r="E10" s="23">
        <f t="shared" ref="E10:L10" si="38">E9-D9</f>
        <v>30047</v>
      </c>
      <c r="F10" s="23">
        <f t="shared" si="38"/>
        <v>36798</v>
      </c>
      <c r="G10" s="23">
        <f t="shared" si="38"/>
        <v>33908</v>
      </c>
      <c r="H10" s="23">
        <f t="shared" si="38"/>
        <v>32443</v>
      </c>
      <c r="I10" s="23">
        <f t="shared" si="38"/>
        <v>31315</v>
      </c>
      <c r="J10" s="23">
        <f t="shared" si="38"/>
        <v>29469</v>
      </c>
      <c r="K10" s="23">
        <f t="shared" si="38"/>
        <v>28745</v>
      </c>
      <c r="L10" s="23">
        <f t="shared" si="38"/>
        <v>20942</v>
      </c>
      <c r="M10" s="23">
        <f t="shared" ref="M10" si="39">M9-L9</f>
        <v>20328</v>
      </c>
      <c r="N10" s="23">
        <f t="shared" ref="N10" si="40">N9-M9</f>
        <v>25090</v>
      </c>
      <c r="O10" s="23">
        <f t="shared" si="0"/>
        <v>22503</v>
      </c>
      <c r="P10" s="23">
        <f t="shared" si="0"/>
        <v>19032</v>
      </c>
      <c r="Q10" s="23">
        <f t="shared" ref="Q10" si="41">Q9-P9</f>
        <v>18519</v>
      </c>
      <c r="R10" s="23">
        <f t="shared" ref="R10" si="42">R9-Q9</f>
        <v>20122</v>
      </c>
      <c r="S10" s="23">
        <f t="shared" ref="S10" si="43">S9-R9</f>
        <v>19546</v>
      </c>
      <c r="T10" s="23">
        <f t="shared" ref="T10" si="44">T9-S9</f>
        <v>19102</v>
      </c>
      <c r="U10" s="23">
        <f t="shared" ref="U10" si="45">U9-T9</f>
        <v>19390</v>
      </c>
      <c r="V10" s="23">
        <f t="shared" ref="V10" si="46">V9-U9</f>
        <v>20076</v>
      </c>
      <c r="W10" s="23">
        <f t="shared" ref="W10" si="47">W9-V9</f>
        <v>21762</v>
      </c>
      <c r="X10" s="23">
        <f t="shared" ref="X10" si="48">X9-W9</f>
        <v>19902</v>
      </c>
      <c r="Y10" s="23">
        <f t="shared" ref="Y10" si="49">Y9-X9</f>
        <v>20156</v>
      </c>
      <c r="Z10" s="23">
        <f t="shared" ref="Z10" si="50">Z9-Y9</f>
        <v>20091</v>
      </c>
      <c r="AA10" s="23">
        <f t="shared" ref="AA10" si="51">AA9-Z9</f>
        <v>20438</v>
      </c>
      <c r="AB10" s="23">
        <f t="shared" ref="AB10" si="52">AB9-AA9</f>
        <v>19423</v>
      </c>
      <c r="AC10" s="23">
        <f t="shared" ref="AC10" si="53">AC9-AB9</f>
        <v>20124</v>
      </c>
      <c r="AD10" s="23">
        <f t="shared" ref="AD10" si="54">AD9-AC9</f>
        <v>19928</v>
      </c>
      <c r="AE10" s="23">
        <f t="shared" ref="AE10" si="55">AE9-AD9</f>
        <v>19606</v>
      </c>
      <c r="AF10" s="23">
        <f t="shared" ref="AF10" si="56">AF9-AE9</f>
        <v>22176</v>
      </c>
      <c r="AG10" s="23">
        <f t="shared" ref="AG10:AI10" si="57">AG9-AF9</f>
        <v>23248</v>
      </c>
      <c r="AH10" s="23">
        <f t="shared" si="57"/>
        <v>21976</v>
      </c>
      <c r="AI10" s="23">
        <f t="shared" si="57"/>
        <v>22656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9">
        <v>4</v>
      </c>
      <c r="B11" s="36" t="s">
        <v>22</v>
      </c>
      <c r="C11" s="79" t="s">
        <v>23</v>
      </c>
      <c r="D11" s="21">
        <v>12623623</v>
      </c>
      <c r="E11" s="21">
        <v>12645831</v>
      </c>
      <c r="F11" s="21">
        <v>12670917</v>
      </c>
      <c r="G11" s="21">
        <v>12694798</v>
      </c>
      <c r="H11" s="21">
        <v>12718171</v>
      </c>
      <c r="I11" s="21">
        <v>12741864</v>
      </c>
      <c r="J11" s="21">
        <v>12763814</v>
      </c>
      <c r="K11" s="21">
        <v>12785754</v>
      </c>
      <c r="L11" s="21">
        <v>12808310</v>
      </c>
      <c r="M11" s="21">
        <v>12830554</v>
      </c>
      <c r="N11" s="21">
        <v>12853069</v>
      </c>
      <c r="O11" s="21">
        <v>12881187</v>
      </c>
      <c r="P11" s="21">
        <v>12922483</v>
      </c>
      <c r="Q11" s="21">
        <v>12961394</v>
      </c>
      <c r="R11" s="21">
        <v>13002530</v>
      </c>
      <c r="S11" s="21">
        <v>13044836</v>
      </c>
      <c r="T11" s="21">
        <v>13084531</v>
      </c>
      <c r="U11" s="21">
        <v>13122155</v>
      </c>
      <c r="V11" s="21">
        <v>13157163</v>
      </c>
      <c r="W11" s="21">
        <v>13201333</v>
      </c>
      <c r="X11" s="21">
        <v>13244088</v>
      </c>
      <c r="Y11" s="21">
        <v>13289308</v>
      </c>
      <c r="Z11" s="21">
        <v>13333809</v>
      </c>
      <c r="AA11" s="21">
        <v>13380268</v>
      </c>
      <c r="AB11" s="21">
        <v>13425898</v>
      </c>
      <c r="AC11" s="21">
        <v>13470543</v>
      </c>
      <c r="AD11" s="21">
        <v>13515305</v>
      </c>
      <c r="AE11" s="21">
        <v>13559484</v>
      </c>
      <c r="AF11" s="21">
        <v>13602292</v>
      </c>
      <c r="AG11" s="21">
        <v>13643662</v>
      </c>
      <c r="AH11" s="21">
        <v>13683922</v>
      </c>
      <c r="AI11" s="21">
        <v>13724432</v>
      </c>
    </row>
    <row r="12" spans="1:67" s="38" customFormat="1" ht="21.75" customHeight="1" thickBot="1" x14ac:dyDescent="0.25">
      <c r="A12" s="76"/>
      <c r="B12" s="37"/>
      <c r="C12" s="77"/>
      <c r="D12" s="23"/>
      <c r="E12" s="23">
        <f t="shared" ref="E12:L12" si="58">E11-D11</f>
        <v>22208</v>
      </c>
      <c r="F12" s="23">
        <f t="shared" si="58"/>
        <v>25086</v>
      </c>
      <c r="G12" s="23">
        <f t="shared" si="58"/>
        <v>23881</v>
      </c>
      <c r="H12" s="23">
        <f t="shared" si="58"/>
        <v>23373</v>
      </c>
      <c r="I12" s="23">
        <f t="shared" si="58"/>
        <v>23693</v>
      </c>
      <c r="J12" s="23">
        <f t="shared" si="58"/>
        <v>21950</v>
      </c>
      <c r="K12" s="23">
        <f t="shared" si="58"/>
        <v>21940</v>
      </c>
      <c r="L12" s="23">
        <f t="shared" si="58"/>
        <v>22556</v>
      </c>
      <c r="M12" s="23">
        <f t="shared" ref="M12" si="59">M11-L11</f>
        <v>22244</v>
      </c>
      <c r="N12" s="23">
        <f t="shared" ref="N12" si="60">N11-M11</f>
        <v>22515</v>
      </c>
      <c r="O12" s="23">
        <f t="shared" si="0"/>
        <v>28118</v>
      </c>
      <c r="P12" s="23">
        <f t="shared" si="0"/>
        <v>41296</v>
      </c>
      <c r="Q12" s="23">
        <f t="shared" ref="Q12" si="61">Q11-P11</f>
        <v>38911</v>
      </c>
      <c r="R12" s="23">
        <f t="shared" ref="R12" si="62">R11-Q11</f>
        <v>41136</v>
      </c>
      <c r="S12" s="23">
        <f t="shared" ref="S12" si="63">S11-R11</f>
        <v>42306</v>
      </c>
      <c r="T12" s="23">
        <f t="shared" ref="T12" si="64">T11-S11</f>
        <v>39695</v>
      </c>
      <c r="U12" s="23">
        <f t="shared" ref="U12" si="65">U11-T11</f>
        <v>37624</v>
      </c>
      <c r="V12" s="23">
        <f t="shared" ref="V12" si="66">V11-U11</f>
        <v>35008</v>
      </c>
      <c r="W12" s="23">
        <f t="shared" ref="W12" si="67">W11-V11</f>
        <v>44170</v>
      </c>
      <c r="X12" s="23">
        <f t="shared" ref="X12" si="68">X11-W11</f>
        <v>42755</v>
      </c>
      <c r="Y12" s="23">
        <f t="shared" ref="Y12" si="69">Y11-X11</f>
        <v>45220</v>
      </c>
      <c r="Z12" s="23">
        <f t="shared" ref="Z12" si="70">Z11-Y11</f>
        <v>44501</v>
      </c>
      <c r="AA12" s="23">
        <f t="shared" ref="AA12" si="71">AA11-Z11</f>
        <v>46459</v>
      </c>
      <c r="AB12" s="23">
        <f t="shared" ref="AB12" si="72">AB11-AA11</f>
        <v>45630</v>
      </c>
      <c r="AC12" s="23">
        <f t="shared" ref="AC12" si="73">AC11-AB11</f>
        <v>44645</v>
      </c>
      <c r="AD12" s="23">
        <f t="shared" ref="AD12" si="74">AD11-AC11</f>
        <v>44762</v>
      </c>
      <c r="AE12" s="23">
        <f t="shared" ref="AE12" si="75">AE11-AD11</f>
        <v>44179</v>
      </c>
      <c r="AF12" s="23">
        <f t="shared" ref="AF12" si="76">AF11-AE11</f>
        <v>42808</v>
      </c>
      <c r="AG12" s="23">
        <f t="shared" ref="AG12:AI12" si="77">AG11-AF11</f>
        <v>41370</v>
      </c>
      <c r="AH12" s="23">
        <f t="shared" si="77"/>
        <v>40260</v>
      </c>
      <c r="AI12" s="23">
        <f t="shared" si="77"/>
        <v>40510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8">
        <v>7</v>
      </c>
      <c r="B13" s="39" t="s">
        <v>24</v>
      </c>
      <c r="C13" s="71" t="s">
        <v>25</v>
      </c>
      <c r="D13" s="40">
        <v>3446</v>
      </c>
      <c r="E13" s="40">
        <v>3446</v>
      </c>
      <c r="F13" s="40">
        <v>3446</v>
      </c>
      <c r="G13" s="40">
        <v>3446</v>
      </c>
      <c r="H13" s="40">
        <v>3446</v>
      </c>
      <c r="I13" s="40">
        <v>3453</v>
      </c>
      <c r="J13" s="40">
        <v>3453</v>
      </c>
      <c r="K13" s="40">
        <v>3453</v>
      </c>
      <c r="L13" s="40">
        <v>3453</v>
      </c>
      <c r="M13" s="40">
        <v>3453</v>
      </c>
      <c r="N13" s="40">
        <v>3453</v>
      </c>
      <c r="O13" s="40">
        <v>3453</v>
      </c>
      <c r="P13" s="40">
        <v>3453</v>
      </c>
      <c r="Q13" s="40">
        <v>3453</v>
      </c>
      <c r="R13" s="40">
        <v>3453</v>
      </c>
      <c r="S13" s="40">
        <v>3453</v>
      </c>
      <c r="T13" s="40">
        <v>3453</v>
      </c>
      <c r="U13" s="40">
        <v>3453</v>
      </c>
      <c r="V13" s="40">
        <v>3453</v>
      </c>
      <c r="W13" s="40">
        <v>3453</v>
      </c>
      <c r="X13" s="40">
        <v>3453</v>
      </c>
      <c r="Y13" s="40">
        <v>3453</v>
      </c>
      <c r="Z13" s="40">
        <v>3453</v>
      </c>
      <c r="AA13" s="40">
        <v>3453</v>
      </c>
      <c r="AB13" s="40">
        <v>3453</v>
      </c>
      <c r="AC13" s="40">
        <v>3453</v>
      </c>
      <c r="AD13" s="40">
        <v>3453</v>
      </c>
      <c r="AE13" s="40">
        <v>3453</v>
      </c>
      <c r="AF13" s="40">
        <v>3453</v>
      </c>
      <c r="AG13" s="40">
        <v>3453</v>
      </c>
      <c r="AH13" s="40">
        <v>3454</v>
      </c>
      <c r="AI13" s="40">
        <v>3454</v>
      </c>
    </row>
    <row r="14" spans="1:67" s="24" customFormat="1" ht="21.75" customHeight="1" thickBot="1" x14ac:dyDescent="0.25">
      <c r="A14" s="74"/>
      <c r="B14" s="41"/>
      <c r="C14" s="77"/>
      <c r="D14" s="42"/>
      <c r="E14" s="42">
        <f t="shared" ref="E14" si="78">E13-D13</f>
        <v>0</v>
      </c>
      <c r="F14" s="42">
        <f t="shared" ref="F14:L14" si="79">F13-E13</f>
        <v>0</v>
      </c>
      <c r="G14" s="42">
        <f t="shared" si="79"/>
        <v>0</v>
      </c>
      <c r="H14" s="42">
        <f t="shared" si="79"/>
        <v>0</v>
      </c>
      <c r="I14" s="42">
        <f t="shared" si="79"/>
        <v>7</v>
      </c>
      <c r="J14" s="42">
        <f t="shared" si="79"/>
        <v>0</v>
      </c>
      <c r="K14" s="42">
        <f t="shared" si="79"/>
        <v>0</v>
      </c>
      <c r="L14" s="42">
        <f t="shared" si="79"/>
        <v>0</v>
      </c>
      <c r="M14" s="42">
        <f t="shared" ref="M14" si="80">M13-L13</f>
        <v>0</v>
      </c>
      <c r="N14" s="42">
        <f t="shared" ref="N14:P20" si="81">N13-M13</f>
        <v>0</v>
      </c>
      <c r="O14" s="42">
        <f t="shared" si="81"/>
        <v>0</v>
      </c>
      <c r="P14" s="42">
        <f t="shared" si="81"/>
        <v>0</v>
      </c>
      <c r="Q14" s="42">
        <f t="shared" ref="Q14" si="82">Q13-P13</f>
        <v>0</v>
      </c>
      <c r="R14" s="42">
        <f t="shared" ref="R14" si="83">R13-Q13</f>
        <v>0</v>
      </c>
      <c r="S14" s="42">
        <f t="shared" ref="S14" si="84">S13-R13</f>
        <v>0</v>
      </c>
      <c r="T14" s="42">
        <f t="shared" ref="T14" si="85">T13-S13</f>
        <v>0</v>
      </c>
      <c r="U14" s="42">
        <f t="shared" ref="U14" si="86">U13-T13</f>
        <v>0</v>
      </c>
      <c r="V14" s="42">
        <f t="shared" ref="V14" si="87">V13-U13</f>
        <v>0</v>
      </c>
      <c r="W14" s="42">
        <f t="shared" ref="W14" si="88">W13-V13</f>
        <v>0</v>
      </c>
      <c r="X14" s="42">
        <f t="shared" ref="X14" si="89">X13-W13</f>
        <v>0</v>
      </c>
      <c r="Y14" s="42">
        <f t="shared" ref="Y14" si="90">Y13-X13</f>
        <v>0</v>
      </c>
      <c r="Z14" s="42">
        <f t="shared" ref="Z14" si="91">Z13-Y13</f>
        <v>0</v>
      </c>
      <c r="AA14" s="42">
        <f t="shared" ref="AA14" si="92">AA13-Z13</f>
        <v>0</v>
      </c>
      <c r="AB14" s="42">
        <f t="shared" ref="AB14" si="93">AB13-AA13</f>
        <v>0</v>
      </c>
      <c r="AC14" s="42">
        <f t="shared" ref="AC14" si="94">AC13-AB13</f>
        <v>0</v>
      </c>
      <c r="AD14" s="42">
        <f t="shared" ref="AD14" si="95">AD13-AC13</f>
        <v>0</v>
      </c>
      <c r="AE14" s="42">
        <f t="shared" ref="AE14" si="96">AE13-AD13</f>
        <v>0</v>
      </c>
      <c r="AF14" s="42">
        <f t="shared" ref="AF14" si="97">AF13-AE13</f>
        <v>0</v>
      </c>
      <c r="AG14" s="42">
        <f t="shared" ref="AG14:AI14" si="98">AG13-AF13</f>
        <v>0</v>
      </c>
      <c r="AH14" s="42">
        <f t="shared" si="98"/>
        <v>1</v>
      </c>
      <c r="AI14" s="42">
        <f t="shared" si="98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9">
        <v>8</v>
      </c>
      <c r="B15" s="39" t="s">
        <v>26</v>
      </c>
      <c r="C15" s="71" t="s">
        <v>27</v>
      </c>
      <c r="D15" s="40">
        <v>534</v>
      </c>
      <c r="E15" s="40">
        <v>534</v>
      </c>
      <c r="F15" s="40">
        <v>534</v>
      </c>
      <c r="G15" s="40">
        <v>534</v>
      </c>
      <c r="H15" s="40">
        <v>535</v>
      </c>
      <c r="I15" s="40">
        <v>537</v>
      </c>
      <c r="J15" s="40">
        <v>537</v>
      </c>
      <c r="K15" s="40">
        <v>537</v>
      </c>
      <c r="L15" s="40">
        <v>537</v>
      </c>
      <c r="M15" s="40">
        <v>537</v>
      </c>
      <c r="N15" s="40">
        <v>537</v>
      </c>
      <c r="O15" s="40">
        <v>537</v>
      </c>
      <c r="P15" s="40">
        <v>538</v>
      </c>
      <c r="Q15" s="40">
        <v>538</v>
      </c>
      <c r="R15" s="40">
        <v>538</v>
      </c>
      <c r="S15" s="40">
        <v>538</v>
      </c>
      <c r="T15" s="40">
        <v>538</v>
      </c>
      <c r="U15" s="40">
        <v>538</v>
      </c>
      <c r="V15" s="40">
        <v>538</v>
      </c>
      <c r="W15" s="40">
        <v>539</v>
      </c>
      <c r="X15" s="40">
        <v>539</v>
      </c>
      <c r="Y15" s="40">
        <v>539</v>
      </c>
      <c r="Z15" s="40">
        <v>539</v>
      </c>
      <c r="AA15" s="40">
        <v>539</v>
      </c>
      <c r="AB15" s="40">
        <v>540</v>
      </c>
      <c r="AC15" s="40">
        <v>540</v>
      </c>
      <c r="AD15" s="40">
        <v>540</v>
      </c>
      <c r="AE15" s="40">
        <v>540</v>
      </c>
      <c r="AF15" s="40">
        <v>540</v>
      </c>
      <c r="AG15" s="40">
        <v>540</v>
      </c>
      <c r="AH15" s="40">
        <v>541</v>
      </c>
      <c r="AI15" s="40">
        <v>541</v>
      </c>
    </row>
    <row r="16" spans="1:67" s="24" customFormat="1" ht="21.75" customHeight="1" thickBot="1" x14ac:dyDescent="0.25">
      <c r="A16" s="76"/>
      <c r="B16" s="41"/>
      <c r="C16" s="77"/>
      <c r="D16" s="42"/>
      <c r="E16" s="42">
        <f t="shared" ref="E16:L16" si="99">E15-D15</f>
        <v>0</v>
      </c>
      <c r="F16" s="42">
        <f t="shared" si="99"/>
        <v>0</v>
      </c>
      <c r="G16" s="42">
        <f t="shared" si="99"/>
        <v>0</v>
      </c>
      <c r="H16" s="42">
        <f t="shared" si="99"/>
        <v>1</v>
      </c>
      <c r="I16" s="42">
        <f t="shared" si="99"/>
        <v>2</v>
      </c>
      <c r="J16" s="42">
        <f t="shared" si="99"/>
        <v>0</v>
      </c>
      <c r="K16" s="42">
        <f t="shared" si="99"/>
        <v>0</v>
      </c>
      <c r="L16" s="42">
        <f t="shared" si="99"/>
        <v>0</v>
      </c>
      <c r="M16" s="42">
        <f t="shared" ref="M16" si="100">M15-L15</f>
        <v>0</v>
      </c>
      <c r="N16" s="42">
        <f t="shared" ref="N16" si="101">N15-M15</f>
        <v>0</v>
      </c>
      <c r="O16" s="42">
        <f t="shared" si="81"/>
        <v>0</v>
      </c>
      <c r="P16" s="42">
        <f t="shared" si="81"/>
        <v>1</v>
      </c>
      <c r="Q16" s="42">
        <f t="shared" ref="Q16" si="102">Q15-P15</f>
        <v>0</v>
      </c>
      <c r="R16" s="42">
        <f t="shared" ref="R16" si="103">R15-Q15</f>
        <v>0</v>
      </c>
      <c r="S16" s="42">
        <f t="shared" ref="S16" si="104">S15-R15</f>
        <v>0</v>
      </c>
      <c r="T16" s="42">
        <f t="shared" ref="T16" si="105">T15-S15</f>
        <v>0</v>
      </c>
      <c r="U16" s="42">
        <f t="shared" ref="U16" si="106">U15-T15</f>
        <v>0</v>
      </c>
      <c r="V16" s="42">
        <f t="shared" ref="V16" si="107">V15-U15</f>
        <v>0</v>
      </c>
      <c r="W16" s="42">
        <f t="shared" ref="W16" si="108">W15-V15</f>
        <v>1</v>
      </c>
      <c r="X16" s="42">
        <f t="shared" ref="X16" si="109">X15-W15</f>
        <v>0</v>
      </c>
      <c r="Y16" s="42">
        <f t="shared" ref="Y16" si="110">Y15-X15</f>
        <v>0</v>
      </c>
      <c r="Z16" s="42">
        <f t="shared" ref="Z16" si="111">Z15-Y15</f>
        <v>0</v>
      </c>
      <c r="AA16" s="42">
        <f t="shared" ref="AA16" si="112">AA15-Z15</f>
        <v>0</v>
      </c>
      <c r="AB16" s="42">
        <f t="shared" ref="AB16" si="113">AB15-AA15</f>
        <v>1</v>
      </c>
      <c r="AC16" s="42">
        <f t="shared" ref="AC16" si="114">AC15-AB15</f>
        <v>0</v>
      </c>
      <c r="AD16" s="42">
        <f t="shared" ref="AD16" si="115">AD15-AC15</f>
        <v>0</v>
      </c>
      <c r="AE16" s="42">
        <f t="shared" ref="AE16" si="116">AE15-AD15</f>
        <v>0</v>
      </c>
      <c r="AF16" s="42">
        <f t="shared" ref="AF16" si="117">AF15-AE15</f>
        <v>0</v>
      </c>
      <c r="AG16" s="42">
        <f t="shared" ref="AG16:AI16" si="118">AG15-AF15</f>
        <v>0</v>
      </c>
      <c r="AH16" s="42">
        <f t="shared" si="118"/>
        <v>1</v>
      </c>
      <c r="AI16" s="42">
        <f t="shared" si="118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9">
        <v>13</v>
      </c>
      <c r="B17" s="39" t="s">
        <v>28</v>
      </c>
      <c r="C17" s="71" t="s">
        <v>29</v>
      </c>
      <c r="D17" s="40">
        <v>1515433</v>
      </c>
      <c r="E17" s="40">
        <v>1515704</v>
      </c>
      <c r="F17" s="40">
        <v>1515981</v>
      </c>
      <c r="G17" s="40">
        <v>1516259</v>
      </c>
      <c r="H17" s="40">
        <v>1516528</v>
      </c>
      <c r="I17" s="40">
        <v>1516799</v>
      </c>
      <c r="J17" s="40">
        <v>1517072</v>
      </c>
      <c r="K17" s="40">
        <v>1517341</v>
      </c>
      <c r="L17" s="40">
        <v>1517606</v>
      </c>
      <c r="M17" s="40">
        <v>1517879</v>
      </c>
      <c r="N17" s="40">
        <v>1518152</v>
      </c>
      <c r="O17" s="40">
        <v>1518429</v>
      </c>
      <c r="P17" s="40">
        <v>1518752</v>
      </c>
      <c r="Q17" s="40">
        <v>1519077</v>
      </c>
      <c r="R17" s="40">
        <v>1519391</v>
      </c>
      <c r="S17" s="40">
        <v>1519689</v>
      </c>
      <c r="T17" s="40">
        <v>1519963</v>
      </c>
      <c r="U17" s="40">
        <v>1520235</v>
      </c>
      <c r="V17" s="40">
        <v>1520502</v>
      </c>
      <c r="W17" s="40">
        <v>1520776</v>
      </c>
      <c r="X17" s="40">
        <v>1521054</v>
      </c>
      <c r="Y17" s="40">
        <v>1521335</v>
      </c>
      <c r="Z17" s="40">
        <v>1521606</v>
      </c>
      <c r="AA17" s="40">
        <v>1521871</v>
      </c>
      <c r="AB17" s="40">
        <v>1522136</v>
      </c>
      <c r="AC17" s="40">
        <v>1522432</v>
      </c>
      <c r="AD17" s="40">
        <v>1522721</v>
      </c>
      <c r="AE17" s="40">
        <v>1523022</v>
      </c>
      <c r="AF17" s="40">
        <v>1523287</v>
      </c>
      <c r="AG17" s="40">
        <v>1523549</v>
      </c>
      <c r="AH17" s="40">
        <v>1523809</v>
      </c>
      <c r="AI17" s="40">
        <v>1524062</v>
      </c>
    </row>
    <row r="18" spans="1:35" ht="21.75" customHeight="1" thickBot="1" x14ac:dyDescent="0.25">
      <c r="A18" s="70"/>
      <c r="B18" s="43"/>
      <c r="C18" s="72"/>
      <c r="D18" s="42"/>
      <c r="E18" s="42">
        <f t="shared" ref="E18:L18" si="119">E17-D17</f>
        <v>271</v>
      </c>
      <c r="F18" s="42">
        <f t="shared" si="119"/>
        <v>277</v>
      </c>
      <c r="G18" s="42">
        <f t="shared" si="119"/>
        <v>278</v>
      </c>
      <c r="H18" s="42">
        <f t="shared" si="119"/>
        <v>269</v>
      </c>
      <c r="I18" s="42">
        <f t="shared" si="119"/>
        <v>271</v>
      </c>
      <c r="J18" s="42">
        <f t="shared" si="119"/>
        <v>273</v>
      </c>
      <c r="K18" s="42">
        <f t="shared" si="119"/>
        <v>269</v>
      </c>
      <c r="L18" s="42">
        <f t="shared" si="119"/>
        <v>265</v>
      </c>
      <c r="M18" s="42">
        <f t="shared" ref="M18" si="120">M17-L17</f>
        <v>273</v>
      </c>
      <c r="N18" s="42">
        <f t="shared" ref="N18" si="121">N17-M17</f>
        <v>273</v>
      </c>
      <c r="O18" s="42">
        <f t="shared" si="81"/>
        <v>277</v>
      </c>
      <c r="P18" s="42">
        <f t="shared" si="81"/>
        <v>323</v>
      </c>
      <c r="Q18" s="42">
        <f t="shared" ref="Q18" si="122">Q17-P17</f>
        <v>325</v>
      </c>
      <c r="R18" s="42">
        <f t="shared" ref="R18" si="123">R17-Q17</f>
        <v>314</v>
      </c>
      <c r="S18" s="42">
        <f t="shared" ref="S18" si="124">S17-R17</f>
        <v>298</v>
      </c>
      <c r="T18" s="42">
        <f t="shared" ref="T18" si="125">T17-S17</f>
        <v>274</v>
      </c>
      <c r="U18" s="42">
        <f t="shared" ref="U18" si="126">U17-T17</f>
        <v>272</v>
      </c>
      <c r="V18" s="42">
        <f t="shared" ref="V18" si="127">V17-U17</f>
        <v>267</v>
      </c>
      <c r="W18" s="42">
        <f t="shared" ref="W18" si="128">W17-V17</f>
        <v>274</v>
      </c>
      <c r="X18" s="42">
        <f t="shared" ref="X18" si="129">X17-W17</f>
        <v>278</v>
      </c>
      <c r="Y18" s="42">
        <f t="shared" ref="Y18" si="130">Y17-X17</f>
        <v>281</v>
      </c>
      <c r="Z18" s="42">
        <f t="shared" ref="Z18" si="131">Z17-Y17</f>
        <v>271</v>
      </c>
      <c r="AA18" s="42">
        <f t="shared" ref="AA18" si="132">AA17-Z17</f>
        <v>265</v>
      </c>
      <c r="AB18" s="42">
        <f t="shared" ref="AB18" si="133">AB17-AA17</f>
        <v>265</v>
      </c>
      <c r="AC18" s="42">
        <f t="shared" ref="AC18" si="134">AC17-AB17</f>
        <v>296</v>
      </c>
      <c r="AD18" s="42">
        <f t="shared" ref="AD18" si="135">AD17-AC17</f>
        <v>289</v>
      </c>
      <c r="AE18" s="42">
        <f t="shared" ref="AE18" si="136">AE17-AD17</f>
        <v>301</v>
      </c>
      <c r="AF18" s="42">
        <f t="shared" ref="AF18" si="137">AF17-AE17</f>
        <v>265</v>
      </c>
      <c r="AG18" s="42">
        <f t="shared" ref="AG18:AI18" si="138">AG17-AF17</f>
        <v>262</v>
      </c>
      <c r="AH18" s="42">
        <f t="shared" si="138"/>
        <v>260</v>
      </c>
      <c r="AI18" s="42">
        <f t="shared" si="138"/>
        <v>253</v>
      </c>
    </row>
    <row r="19" spans="1:35" ht="21.75" customHeight="1" x14ac:dyDescent="0.2">
      <c r="A19" s="73">
        <v>14</v>
      </c>
      <c r="B19" s="39" t="s">
        <v>30</v>
      </c>
      <c r="C19" s="71" t="s">
        <v>31</v>
      </c>
      <c r="D19" s="40">
        <v>395899</v>
      </c>
      <c r="E19" s="40">
        <v>395959</v>
      </c>
      <c r="F19" s="40">
        <v>396015</v>
      </c>
      <c r="G19" s="40">
        <v>396073</v>
      </c>
      <c r="H19" s="40">
        <v>396132</v>
      </c>
      <c r="I19" s="40">
        <v>396190</v>
      </c>
      <c r="J19" s="40">
        <v>396248</v>
      </c>
      <c r="K19" s="40">
        <v>396309</v>
      </c>
      <c r="L19" s="40">
        <v>396366</v>
      </c>
      <c r="M19" s="40">
        <v>396425</v>
      </c>
      <c r="N19" s="40">
        <v>396480</v>
      </c>
      <c r="O19" s="40">
        <v>396536</v>
      </c>
      <c r="P19" s="40">
        <v>396591</v>
      </c>
      <c r="Q19" s="40">
        <v>396649</v>
      </c>
      <c r="R19" s="40">
        <v>396706</v>
      </c>
      <c r="S19" s="40">
        <v>396764</v>
      </c>
      <c r="T19" s="40">
        <v>396822</v>
      </c>
      <c r="U19" s="40">
        <v>396875</v>
      </c>
      <c r="V19" s="40">
        <v>396928</v>
      </c>
      <c r="W19" s="40">
        <v>396984</v>
      </c>
      <c r="X19" s="40">
        <v>397042</v>
      </c>
      <c r="Y19" s="40">
        <v>397097</v>
      </c>
      <c r="Z19" s="40">
        <v>397151</v>
      </c>
      <c r="AA19" s="40">
        <v>397206</v>
      </c>
      <c r="AB19" s="40">
        <v>397261</v>
      </c>
      <c r="AC19" s="40">
        <v>397314</v>
      </c>
      <c r="AD19" s="40">
        <v>397366</v>
      </c>
      <c r="AE19" s="40">
        <v>397424</v>
      </c>
      <c r="AF19" s="40">
        <v>397482</v>
      </c>
      <c r="AG19" s="40">
        <v>397537</v>
      </c>
      <c r="AH19" s="40">
        <v>397593</v>
      </c>
      <c r="AI19" s="40">
        <v>397647</v>
      </c>
    </row>
    <row r="20" spans="1:35" ht="21.75" customHeight="1" thickBot="1" x14ac:dyDescent="0.25">
      <c r="A20" s="74"/>
      <c r="B20" s="43"/>
      <c r="C20" s="72"/>
      <c r="D20" s="42"/>
      <c r="E20" s="42">
        <f>E19-D19</f>
        <v>60</v>
      </c>
      <c r="F20" s="42">
        <f t="shared" ref="F20:L20" si="139">F19-E19</f>
        <v>56</v>
      </c>
      <c r="G20" s="42">
        <f t="shared" si="139"/>
        <v>58</v>
      </c>
      <c r="H20" s="42">
        <f t="shared" si="139"/>
        <v>59</v>
      </c>
      <c r="I20" s="42">
        <f t="shared" si="139"/>
        <v>58</v>
      </c>
      <c r="J20" s="42">
        <f t="shared" si="139"/>
        <v>58</v>
      </c>
      <c r="K20" s="42">
        <f t="shared" si="139"/>
        <v>61</v>
      </c>
      <c r="L20" s="42">
        <f t="shared" si="139"/>
        <v>57</v>
      </c>
      <c r="M20" s="42">
        <f t="shared" ref="M20" si="140">M19-L19</f>
        <v>59</v>
      </c>
      <c r="N20" s="42">
        <f t="shared" ref="N20" si="141">N19-M19</f>
        <v>55</v>
      </c>
      <c r="O20" s="42">
        <f t="shared" si="81"/>
        <v>56</v>
      </c>
      <c r="P20" s="42">
        <f t="shared" si="81"/>
        <v>55</v>
      </c>
      <c r="Q20" s="42">
        <f t="shared" ref="Q20" si="142">Q19-P19</f>
        <v>58</v>
      </c>
      <c r="R20" s="42">
        <f t="shared" ref="R20" si="143">R19-Q19</f>
        <v>57</v>
      </c>
      <c r="S20" s="42">
        <f t="shared" ref="S20" si="144">S19-R19</f>
        <v>58</v>
      </c>
      <c r="T20" s="42">
        <f t="shared" ref="T20" si="145">T19-S19</f>
        <v>58</v>
      </c>
      <c r="U20" s="42">
        <f t="shared" ref="U20" si="146">U19-T19</f>
        <v>53</v>
      </c>
      <c r="V20" s="42">
        <f t="shared" ref="V20" si="147">V19-U19</f>
        <v>53</v>
      </c>
      <c r="W20" s="42">
        <f t="shared" ref="W20" si="148">W19-V19</f>
        <v>56</v>
      </c>
      <c r="X20" s="42">
        <f t="shared" ref="X20" si="149">X19-W19</f>
        <v>58</v>
      </c>
      <c r="Y20" s="42">
        <f t="shared" ref="Y20" si="150">Y19-X19</f>
        <v>55</v>
      </c>
      <c r="Z20" s="42">
        <f t="shared" ref="Z20" si="151">Z19-Y19</f>
        <v>54</v>
      </c>
      <c r="AA20" s="42">
        <f t="shared" ref="AA20" si="152">AA19-Z19</f>
        <v>55</v>
      </c>
      <c r="AB20" s="42">
        <f t="shared" ref="AB20" si="153">AB19-AA19</f>
        <v>55</v>
      </c>
      <c r="AC20" s="42">
        <f t="shared" ref="AC20" si="154">AC19-AB19</f>
        <v>53</v>
      </c>
      <c r="AD20" s="42">
        <f t="shared" ref="AD20" si="155">AD19-AC19</f>
        <v>52</v>
      </c>
      <c r="AE20" s="42">
        <f t="shared" ref="AE20" si="156">AE19-AD19</f>
        <v>58</v>
      </c>
      <c r="AF20" s="42">
        <f t="shared" ref="AF20" si="157">AF19-AE19</f>
        <v>58</v>
      </c>
      <c r="AG20" s="42">
        <f t="shared" ref="AG20:AI20" si="158">AG19-AF19</f>
        <v>55</v>
      </c>
      <c r="AH20" s="42">
        <f t="shared" si="158"/>
        <v>56</v>
      </c>
      <c r="AI20" s="42">
        <f t="shared" si="158"/>
        <v>54</v>
      </c>
    </row>
    <row r="21" spans="1:35" ht="27" customHeight="1" x14ac:dyDescent="0.3">
      <c r="B21" s="75" t="s">
        <v>32</v>
      </c>
      <c r="C21" s="75"/>
      <c r="D21" s="44"/>
      <c r="E21" s="52">
        <f>((E6+E8)+((E10+E12)*40%)+(E14+E16+E18+E20))</f>
        <v>42918</v>
      </c>
      <c r="F21" s="52">
        <f t="shared" ref="F21:AI21" si="159">((F6+F8)+((F10+F12)*40%)+(F14+F16+F18+F20))</f>
        <v>47629.600000000006</v>
      </c>
      <c r="G21" s="52">
        <f t="shared" si="159"/>
        <v>46017.600000000006</v>
      </c>
      <c r="H21" s="52">
        <f t="shared" si="159"/>
        <v>45635.4</v>
      </c>
      <c r="I21" s="52">
        <f t="shared" si="159"/>
        <v>45168.2</v>
      </c>
      <c r="J21" s="52">
        <f t="shared" si="159"/>
        <v>42416.600000000006</v>
      </c>
      <c r="K21" s="52">
        <f t="shared" si="159"/>
        <v>42567</v>
      </c>
      <c r="L21" s="52">
        <f t="shared" si="159"/>
        <v>39874.199999999997</v>
      </c>
      <c r="M21" s="52">
        <f t="shared" si="159"/>
        <v>39374.800000000003</v>
      </c>
      <c r="N21" s="52">
        <f t="shared" si="159"/>
        <v>41823</v>
      </c>
      <c r="O21" s="52">
        <f t="shared" si="159"/>
        <v>42870.400000000001</v>
      </c>
      <c r="P21" s="52">
        <f t="shared" si="159"/>
        <v>46944.2</v>
      </c>
      <c r="Q21" s="52">
        <f t="shared" si="159"/>
        <v>44792</v>
      </c>
      <c r="R21" s="52">
        <f t="shared" si="159"/>
        <v>46812.2</v>
      </c>
      <c r="S21" s="52">
        <f t="shared" si="159"/>
        <v>48201.8</v>
      </c>
      <c r="T21" s="52">
        <f t="shared" si="159"/>
        <v>46826.8</v>
      </c>
      <c r="U21" s="52">
        <f t="shared" si="159"/>
        <v>45912.600000000006</v>
      </c>
      <c r="V21" s="52">
        <f t="shared" si="159"/>
        <v>45099.600000000006</v>
      </c>
      <c r="W21" s="52">
        <f t="shared" si="159"/>
        <v>49459.8</v>
      </c>
      <c r="X21" s="52">
        <f t="shared" si="159"/>
        <v>46196.800000000003</v>
      </c>
      <c r="Y21" s="52">
        <f t="shared" si="159"/>
        <v>48630.400000000001</v>
      </c>
      <c r="Z21" s="52">
        <f t="shared" si="159"/>
        <v>48637.8</v>
      </c>
      <c r="AA21" s="52">
        <f t="shared" si="159"/>
        <v>50230.8</v>
      </c>
      <c r="AB21" s="52">
        <f t="shared" si="159"/>
        <v>49416.2</v>
      </c>
      <c r="AC21" s="52">
        <f t="shared" si="159"/>
        <v>48883.600000000006</v>
      </c>
      <c r="AD21" s="52">
        <f t="shared" si="159"/>
        <v>48231</v>
      </c>
      <c r="AE21" s="52">
        <f t="shared" si="159"/>
        <v>48340</v>
      </c>
      <c r="AF21" s="52">
        <f t="shared" si="159"/>
        <v>49232.600000000006</v>
      </c>
      <c r="AG21" s="52">
        <f t="shared" si="159"/>
        <v>49605.2</v>
      </c>
      <c r="AH21" s="52">
        <f t="shared" si="159"/>
        <v>48603.4</v>
      </c>
      <c r="AI21" s="52">
        <f t="shared" si="159"/>
        <v>47912.4</v>
      </c>
    </row>
    <row r="22" spans="1:35" ht="27" customHeight="1" x14ac:dyDescent="0.3">
      <c r="B22" s="68" t="s">
        <v>33</v>
      </c>
      <c r="C22" s="68"/>
      <c r="D22" s="44"/>
      <c r="E22" s="52">
        <f>SUM(E21:AI21)</f>
        <v>1434264.0000000002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2">
      <c r="B23" s="26" t="s">
        <v>87</v>
      </c>
      <c r="E23" s="64">
        <v>1425724.5</v>
      </c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paperSize="9" scale="27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E17" sqref="E17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91" t="s">
        <v>90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</row>
    <row r="3" spans="1:42" s="8" customFormat="1" ht="30" customHeight="1" thickBot="1" x14ac:dyDescent="0.3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</row>
    <row r="4" spans="1:42" s="30" customFormat="1" ht="57.75" customHeight="1" thickBot="1" x14ac:dyDescent="0.3">
      <c r="A4" s="15" t="s">
        <v>12</v>
      </c>
      <c r="B4" s="27" t="s">
        <v>34</v>
      </c>
      <c r="C4" s="27" t="s">
        <v>14</v>
      </c>
      <c r="D4" s="28" t="s">
        <v>35</v>
      </c>
      <c r="E4" s="29" t="s">
        <v>36</v>
      </c>
      <c r="F4" s="29" t="s">
        <v>37</v>
      </c>
      <c r="G4" s="29" t="s">
        <v>38</v>
      </c>
      <c r="H4" s="29" t="s">
        <v>39</v>
      </c>
      <c r="I4" s="29" t="s">
        <v>40</v>
      </c>
      <c r="J4" s="29" t="s">
        <v>41</v>
      </c>
      <c r="K4" s="29" t="s">
        <v>42</v>
      </c>
      <c r="L4" s="29" t="s">
        <v>43</v>
      </c>
      <c r="M4" s="29" t="s">
        <v>44</v>
      </c>
      <c r="N4" s="29" t="s">
        <v>45</v>
      </c>
      <c r="O4" s="29" t="s">
        <v>46</v>
      </c>
      <c r="P4" s="29" t="s">
        <v>47</v>
      </c>
      <c r="Q4" s="29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54</v>
      </c>
      <c r="X4" s="29" t="s">
        <v>55</v>
      </c>
      <c r="Y4" s="29" t="s">
        <v>56</v>
      </c>
      <c r="Z4" s="29" t="s">
        <v>57</v>
      </c>
      <c r="AA4" s="29" t="s">
        <v>58</v>
      </c>
      <c r="AB4" s="29" t="s">
        <v>59</v>
      </c>
      <c r="AC4" s="29" t="s">
        <v>60</v>
      </c>
      <c r="AD4" s="29" t="s">
        <v>61</v>
      </c>
      <c r="AE4" s="29" t="s">
        <v>62</v>
      </c>
      <c r="AF4" s="29" t="s">
        <v>63</v>
      </c>
      <c r="AG4" s="29" t="s">
        <v>64</v>
      </c>
      <c r="AH4" s="29" t="s">
        <v>65</v>
      </c>
      <c r="AI4" s="29" t="s">
        <v>88</v>
      </c>
    </row>
    <row r="5" spans="1:42" s="8" customFormat="1" ht="40.5" customHeight="1" x14ac:dyDescent="0.25">
      <c r="A5" s="94" t="s">
        <v>36</v>
      </c>
      <c r="B5" s="27" t="s">
        <v>66</v>
      </c>
      <c r="C5" s="96" t="s">
        <v>67</v>
      </c>
      <c r="D5" s="31">
        <v>222658</v>
      </c>
      <c r="E5" s="31">
        <v>222912</v>
      </c>
      <c r="F5" s="31">
        <v>223140</v>
      </c>
      <c r="G5" s="31">
        <v>223352</v>
      </c>
      <c r="H5" s="31">
        <v>223574</v>
      </c>
      <c r="I5" s="31">
        <v>223823</v>
      </c>
      <c r="J5" s="31">
        <v>224060</v>
      </c>
      <c r="K5" s="31">
        <v>224329</v>
      </c>
      <c r="L5" s="31">
        <v>224570</v>
      </c>
      <c r="M5" s="31">
        <v>224816</v>
      </c>
      <c r="N5" s="31">
        <v>225051</v>
      </c>
      <c r="O5" s="31">
        <v>225280</v>
      </c>
      <c r="P5" s="31">
        <v>225515</v>
      </c>
      <c r="Q5" s="31">
        <v>225763</v>
      </c>
      <c r="R5" s="31">
        <v>226009</v>
      </c>
      <c r="S5" s="31">
        <v>226317</v>
      </c>
      <c r="T5" s="31">
        <v>226559</v>
      </c>
      <c r="U5" s="31">
        <v>226869</v>
      </c>
      <c r="V5" s="31">
        <v>227094</v>
      </c>
      <c r="W5" s="31">
        <v>227334</v>
      </c>
      <c r="X5" s="31">
        <v>227593</v>
      </c>
      <c r="Y5" s="31">
        <v>227842</v>
      </c>
      <c r="Z5" s="31">
        <v>228073</v>
      </c>
      <c r="AA5" s="31">
        <v>228361</v>
      </c>
      <c r="AB5" s="31">
        <v>228598</v>
      </c>
      <c r="AC5" s="31">
        <v>228879</v>
      </c>
      <c r="AD5" s="31">
        <v>229123</v>
      </c>
      <c r="AE5" s="31">
        <v>229172</v>
      </c>
      <c r="AF5" s="31">
        <v>229632</v>
      </c>
      <c r="AG5" s="31">
        <v>229916</v>
      </c>
      <c r="AH5" s="31">
        <v>230201</v>
      </c>
      <c r="AI5" s="31">
        <v>230489</v>
      </c>
    </row>
    <row r="6" spans="1:42" s="34" customFormat="1" ht="25.7" customHeight="1" thickBot="1" x14ac:dyDescent="0.3">
      <c r="A6" s="95"/>
      <c r="B6" s="32"/>
      <c r="C6" s="96"/>
      <c r="D6" s="33"/>
      <c r="E6" s="33">
        <f>E5-D5</f>
        <v>254</v>
      </c>
      <c r="F6" s="33">
        <f t="shared" ref="F6:L6" si="0">F5-E5</f>
        <v>228</v>
      </c>
      <c r="G6" s="33">
        <f t="shared" si="0"/>
        <v>212</v>
      </c>
      <c r="H6" s="33">
        <f t="shared" si="0"/>
        <v>222</v>
      </c>
      <c r="I6" s="33">
        <f t="shared" si="0"/>
        <v>249</v>
      </c>
      <c r="J6" s="33">
        <f t="shared" si="0"/>
        <v>237</v>
      </c>
      <c r="K6" s="33">
        <f t="shared" si="0"/>
        <v>269</v>
      </c>
      <c r="L6" s="33">
        <f t="shared" si="0"/>
        <v>241</v>
      </c>
      <c r="M6" s="33">
        <f t="shared" ref="M6" si="1">M5-L5</f>
        <v>246</v>
      </c>
      <c r="N6" s="33">
        <f t="shared" ref="N6:O14" si="2">N5-M5</f>
        <v>235</v>
      </c>
      <c r="O6" s="33">
        <f t="shared" si="2"/>
        <v>229</v>
      </c>
      <c r="P6" s="33">
        <f t="shared" ref="P6" si="3">P5-O5</f>
        <v>235</v>
      </c>
      <c r="Q6" s="33">
        <f t="shared" ref="Q6" si="4">Q5-P5</f>
        <v>248</v>
      </c>
      <c r="R6" s="33">
        <f t="shared" ref="R6" si="5">R5-Q5</f>
        <v>246</v>
      </c>
      <c r="S6" s="33">
        <f t="shared" ref="S6" si="6">S5-R5</f>
        <v>308</v>
      </c>
      <c r="T6" s="33">
        <f t="shared" ref="T6" si="7">T5-S5</f>
        <v>242</v>
      </c>
      <c r="U6" s="33">
        <f t="shared" ref="U6" si="8">U5-T5</f>
        <v>310</v>
      </c>
      <c r="V6" s="33">
        <f t="shared" ref="V6" si="9">V5-U5</f>
        <v>225</v>
      </c>
      <c r="W6" s="33">
        <f t="shared" ref="W6" si="10">W5-V5</f>
        <v>240</v>
      </c>
      <c r="X6" s="33">
        <f t="shared" ref="X6" si="11">X5-W5</f>
        <v>259</v>
      </c>
      <c r="Y6" s="33">
        <f t="shared" ref="Y6" si="12">Y5-X5</f>
        <v>249</v>
      </c>
      <c r="Z6" s="33">
        <f t="shared" ref="Z6" si="13">Z5-Y5</f>
        <v>231</v>
      </c>
      <c r="AA6" s="33">
        <f t="shared" ref="AA6" si="14">AA5-Z5</f>
        <v>288</v>
      </c>
      <c r="AB6" s="33">
        <f t="shared" ref="AB6" si="15">AB5-AA5</f>
        <v>237</v>
      </c>
      <c r="AC6" s="33">
        <f t="shared" ref="AC6" si="16">AC5-AB5</f>
        <v>281</v>
      </c>
      <c r="AD6" s="33">
        <f t="shared" ref="AD6" si="17">AD5-AC5</f>
        <v>244</v>
      </c>
      <c r="AE6" s="33">
        <f t="shared" ref="AE6" si="18">AE5-AD5</f>
        <v>49</v>
      </c>
      <c r="AF6" s="33">
        <f t="shared" ref="AF6" si="19">AF5-AE5</f>
        <v>460</v>
      </c>
      <c r="AG6" s="33">
        <f t="shared" ref="AG6:AI6" si="20">AG5-AF5</f>
        <v>284</v>
      </c>
      <c r="AH6" s="33">
        <f t="shared" si="20"/>
        <v>285</v>
      </c>
      <c r="AI6" s="33">
        <f t="shared" si="20"/>
        <v>288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4" t="s">
        <v>38</v>
      </c>
      <c r="B7" s="49" t="s">
        <v>68</v>
      </c>
      <c r="C7" s="96" t="s">
        <v>69</v>
      </c>
      <c r="D7" s="31">
        <v>413303.7</v>
      </c>
      <c r="E7" s="31">
        <v>413337.9</v>
      </c>
      <c r="F7" s="31">
        <v>413374.1</v>
      </c>
      <c r="G7" s="31">
        <v>413410.9</v>
      </c>
      <c r="H7" s="31">
        <v>413446.9</v>
      </c>
      <c r="I7" s="31">
        <v>413474</v>
      </c>
      <c r="J7" s="31">
        <v>413507</v>
      </c>
      <c r="K7" s="31">
        <v>413541.6</v>
      </c>
      <c r="L7" s="31">
        <v>413574.2</v>
      </c>
      <c r="M7" s="31">
        <v>413606.8</v>
      </c>
      <c r="N7" s="31">
        <v>413639.2</v>
      </c>
      <c r="O7" s="31">
        <v>413674.1</v>
      </c>
      <c r="P7" s="31">
        <v>413703.2</v>
      </c>
      <c r="Q7" s="31">
        <v>413740.79999999999</v>
      </c>
      <c r="R7" s="31">
        <v>413783.2</v>
      </c>
      <c r="S7" s="31">
        <v>413826.3</v>
      </c>
      <c r="T7" s="31">
        <v>413867.1</v>
      </c>
      <c r="U7" s="31">
        <v>413906.5</v>
      </c>
      <c r="V7" s="31">
        <v>413944.1</v>
      </c>
      <c r="W7" s="31">
        <v>413979.5</v>
      </c>
      <c r="X7" s="31">
        <v>414011.8</v>
      </c>
      <c r="Y7" s="31">
        <v>414053.1</v>
      </c>
      <c r="Z7" s="31">
        <v>414099.5</v>
      </c>
      <c r="AA7" s="31">
        <v>414148.2</v>
      </c>
      <c r="AB7" s="31">
        <v>414190.8</v>
      </c>
      <c r="AC7" s="31">
        <v>414235</v>
      </c>
      <c r="AD7" s="31">
        <v>414272.6</v>
      </c>
      <c r="AE7" s="31">
        <v>414314.7</v>
      </c>
      <c r="AF7" s="31">
        <v>414360.8</v>
      </c>
      <c r="AG7" s="31">
        <v>414404.1</v>
      </c>
      <c r="AH7" s="31">
        <v>414447.5</v>
      </c>
      <c r="AI7" s="31">
        <v>414490.2</v>
      </c>
    </row>
    <row r="8" spans="1:42" s="34" customFormat="1" ht="25.7" customHeight="1" thickBot="1" x14ac:dyDescent="0.3">
      <c r="A8" s="95"/>
      <c r="B8" s="47"/>
      <c r="C8" s="96"/>
      <c r="D8" s="33"/>
      <c r="E8" s="33">
        <f t="shared" ref="E8" si="21">E7-D7</f>
        <v>34.200000000011642</v>
      </c>
      <c r="F8" s="33">
        <f t="shared" ref="F8:L8" si="22">F7-E7</f>
        <v>36.199999999953434</v>
      </c>
      <c r="G8" s="33">
        <f t="shared" si="22"/>
        <v>36.800000000046566</v>
      </c>
      <c r="H8" s="33">
        <f t="shared" si="22"/>
        <v>36</v>
      </c>
      <c r="I8" s="33">
        <f t="shared" si="22"/>
        <v>27.099999999976717</v>
      </c>
      <c r="J8" s="33">
        <f t="shared" si="22"/>
        <v>33</v>
      </c>
      <c r="K8" s="33">
        <f t="shared" si="22"/>
        <v>34.599999999976717</v>
      </c>
      <c r="L8" s="33">
        <f t="shared" si="22"/>
        <v>32.600000000034925</v>
      </c>
      <c r="M8" s="33">
        <f t="shared" ref="M8" si="23">M7-L7</f>
        <v>32.599999999976717</v>
      </c>
      <c r="N8" s="33">
        <f t="shared" ref="N8" si="24">N7-M7</f>
        <v>32.400000000023283</v>
      </c>
      <c r="O8" s="33">
        <f t="shared" si="2"/>
        <v>34.899999999965075</v>
      </c>
      <c r="P8" s="33">
        <f t="shared" ref="P8" si="25">P7-O7</f>
        <v>29.100000000034925</v>
      </c>
      <c r="Q8" s="33">
        <f t="shared" ref="Q8" si="26">Q7-P7</f>
        <v>37.599999999976717</v>
      </c>
      <c r="R8" s="33">
        <f t="shared" ref="R8" si="27">R7-Q7</f>
        <v>42.400000000023283</v>
      </c>
      <c r="S8" s="33">
        <f t="shared" ref="S8" si="28">S7-R7</f>
        <v>43.099999999976717</v>
      </c>
      <c r="T8" s="33">
        <f t="shared" ref="T8" si="29">T7-S7</f>
        <v>40.799999999988358</v>
      </c>
      <c r="U8" s="33">
        <f t="shared" ref="U8" si="30">U7-T7</f>
        <v>39.400000000023283</v>
      </c>
      <c r="V8" s="33">
        <f t="shared" ref="V8" si="31">V7-U7</f>
        <v>37.599999999976717</v>
      </c>
      <c r="W8" s="33">
        <f t="shared" ref="W8" si="32">W7-V7</f>
        <v>35.400000000023283</v>
      </c>
      <c r="X8" s="33">
        <f t="shared" ref="X8" si="33">X7-W7</f>
        <v>32.299999999988358</v>
      </c>
      <c r="Y8" s="33">
        <f t="shared" ref="Y8" si="34">Y7-X7</f>
        <v>41.299999999988358</v>
      </c>
      <c r="Z8" s="33">
        <f t="shared" ref="Z8" si="35">Z7-Y7</f>
        <v>46.400000000023283</v>
      </c>
      <c r="AA8" s="33">
        <f t="shared" ref="AA8" si="36">AA7-Z7</f>
        <v>48.700000000011642</v>
      </c>
      <c r="AB8" s="33">
        <f t="shared" ref="AB8" si="37">AB7-AA7</f>
        <v>42.599999999976717</v>
      </c>
      <c r="AC8" s="33">
        <f t="shared" ref="AC8" si="38">AC7-AB7</f>
        <v>44.200000000011642</v>
      </c>
      <c r="AD8" s="33">
        <f t="shared" ref="AD8" si="39">AD7-AC7</f>
        <v>37.599999999976717</v>
      </c>
      <c r="AE8" s="33">
        <f t="shared" ref="AE8" si="40">AE7-AD7</f>
        <v>42.100000000034925</v>
      </c>
      <c r="AF8" s="33">
        <f t="shared" ref="AF8" si="41">AF7-AE7</f>
        <v>46.099999999976717</v>
      </c>
      <c r="AG8" s="33">
        <f t="shared" ref="AG8:AI8" si="42">AG7-AF7</f>
        <v>43.299999999988358</v>
      </c>
      <c r="AH8" s="33">
        <f t="shared" si="42"/>
        <v>43.400000000023283</v>
      </c>
      <c r="AI8" s="33">
        <f t="shared" si="42"/>
        <v>42.700000000011642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4">
        <v>4</v>
      </c>
      <c r="B9" s="46" t="s">
        <v>70</v>
      </c>
      <c r="C9" s="96" t="s">
        <v>71</v>
      </c>
      <c r="D9" s="31">
        <v>46093</v>
      </c>
      <c r="E9" s="31">
        <v>46251</v>
      </c>
      <c r="F9" s="31">
        <v>46407</v>
      </c>
      <c r="G9" s="31">
        <v>46571</v>
      </c>
      <c r="H9" s="31">
        <v>46752</v>
      </c>
      <c r="I9" s="31">
        <v>46786</v>
      </c>
      <c r="J9" s="31">
        <v>46929</v>
      </c>
      <c r="K9" s="31">
        <v>47110</v>
      </c>
      <c r="L9" s="31">
        <v>47280</v>
      </c>
      <c r="M9" s="31">
        <v>47436</v>
      </c>
      <c r="N9" s="31">
        <v>47571</v>
      </c>
      <c r="O9" s="31">
        <v>47745</v>
      </c>
      <c r="P9" s="31">
        <v>47794</v>
      </c>
      <c r="Q9" s="31">
        <v>47957</v>
      </c>
      <c r="R9" s="31">
        <v>48144</v>
      </c>
      <c r="S9" s="31">
        <v>48311</v>
      </c>
      <c r="T9" s="31">
        <v>48467</v>
      </c>
      <c r="U9" s="31">
        <v>48633</v>
      </c>
      <c r="V9" s="31">
        <v>48798</v>
      </c>
      <c r="W9" s="31">
        <v>48822</v>
      </c>
      <c r="X9" s="31">
        <v>48855</v>
      </c>
      <c r="Y9" s="31">
        <v>48964</v>
      </c>
      <c r="Z9" s="31">
        <v>49139</v>
      </c>
      <c r="AA9" s="31">
        <v>49316</v>
      </c>
      <c r="AB9" s="31">
        <v>49478</v>
      </c>
      <c r="AC9" s="31">
        <v>49641</v>
      </c>
      <c r="AD9" s="31">
        <v>49674</v>
      </c>
      <c r="AE9" s="31">
        <v>49811</v>
      </c>
      <c r="AF9" s="31">
        <v>49980</v>
      </c>
      <c r="AG9" s="31">
        <v>50116</v>
      </c>
      <c r="AH9" s="31">
        <v>50256</v>
      </c>
      <c r="AI9" s="31">
        <v>50416</v>
      </c>
    </row>
    <row r="10" spans="1:42" s="34" customFormat="1" ht="25.7" customHeight="1" thickBot="1" x14ac:dyDescent="0.3">
      <c r="A10" s="95"/>
      <c r="B10" s="47"/>
      <c r="C10" s="96"/>
      <c r="D10" s="33"/>
      <c r="E10" s="33">
        <f t="shared" ref="E10:L10" si="43">E9-D9</f>
        <v>158</v>
      </c>
      <c r="F10" s="33">
        <f t="shared" si="43"/>
        <v>156</v>
      </c>
      <c r="G10" s="33">
        <f t="shared" si="43"/>
        <v>164</v>
      </c>
      <c r="H10" s="33">
        <f t="shared" si="43"/>
        <v>181</v>
      </c>
      <c r="I10" s="33">
        <f t="shared" si="43"/>
        <v>34</v>
      </c>
      <c r="J10" s="33">
        <f t="shared" si="43"/>
        <v>143</v>
      </c>
      <c r="K10" s="33">
        <f t="shared" si="43"/>
        <v>181</v>
      </c>
      <c r="L10" s="33">
        <f t="shared" si="43"/>
        <v>170</v>
      </c>
      <c r="M10" s="33">
        <f t="shared" ref="M10" si="44">M9-L9</f>
        <v>156</v>
      </c>
      <c r="N10" s="33">
        <f t="shared" ref="N10" si="45">N9-M9</f>
        <v>135</v>
      </c>
      <c r="O10" s="33">
        <f t="shared" si="2"/>
        <v>174</v>
      </c>
      <c r="P10" s="33">
        <f t="shared" ref="P10" si="46">P9-O9</f>
        <v>49</v>
      </c>
      <c r="Q10" s="33">
        <f t="shared" ref="Q10" si="47">Q9-P9</f>
        <v>163</v>
      </c>
      <c r="R10" s="33">
        <f t="shared" ref="R10" si="48">R9-Q9</f>
        <v>187</v>
      </c>
      <c r="S10" s="33">
        <f t="shared" ref="S10" si="49">S9-R9</f>
        <v>167</v>
      </c>
      <c r="T10" s="33">
        <f t="shared" ref="T10" si="50">T9-S9</f>
        <v>156</v>
      </c>
      <c r="U10" s="33">
        <f t="shared" ref="U10" si="51">U9-T9</f>
        <v>166</v>
      </c>
      <c r="V10" s="33">
        <f t="shared" ref="V10" si="52">V9-U9</f>
        <v>165</v>
      </c>
      <c r="W10" s="33">
        <f t="shared" ref="W10" si="53">W9-V9</f>
        <v>24</v>
      </c>
      <c r="X10" s="33">
        <f t="shared" ref="X10" si="54">X9-W9</f>
        <v>33</v>
      </c>
      <c r="Y10" s="33">
        <f t="shared" ref="Y10" si="55">Y9-X9</f>
        <v>109</v>
      </c>
      <c r="Z10" s="33">
        <f t="shared" ref="Z10" si="56">Z9-Y9</f>
        <v>175</v>
      </c>
      <c r="AA10" s="33">
        <f t="shared" ref="AA10" si="57">AA9-Z9</f>
        <v>177</v>
      </c>
      <c r="AB10" s="33">
        <f t="shared" ref="AB10" si="58">AB9-AA9</f>
        <v>162</v>
      </c>
      <c r="AC10" s="33">
        <f t="shared" ref="AC10" si="59">AC9-AB9</f>
        <v>163</v>
      </c>
      <c r="AD10" s="33">
        <f t="shared" ref="AD10" si="60">AD9-AC9</f>
        <v>33</v>
      </c>
      <c r="AE10" s="33">
        <f t="shared" ref="AE10" si="61">AE9-AD9</f>
        <v>137</v>
      </c>
      <c r="AF10" s="33">
        <f t="shared" ref="AF10" si="62">AF9-AE9</f>
        <v>169</v>
      </c>
      <c r="AG10" s="33">
        <f t="shared" ref="AG10:AI10" si="63">AG9-AF9</f>
        <v>136</v>
      </c>
      <c r="AH10" s="33">
        <f t="shared" si="63"/>
        <v>140</v>
      </c>
      <c r="AI10" s="33">
        <f t="shared" si="63"/>
        <v>160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7">
        <v>5</v>
      </c>
      <c r="B11" s="27">
        <v>68864837</v>
      </c>
      <c r="C11" s="96" t="s">
        <v>72</v>
      </c>
      <c r="D11" s="31">
        <v>2654.7289999999998</v>
      </c>
      <c r="E11" s="31">
        <v>2656.0889999999999</v>
      </c>
      <c r="F11" s="31">
        <v>2657.1219999999998</v>
      </c>
      <c r="G11" s="31">
        <v>2658.1390000000001</v>
      </c>
      <c r="H11" s="31">
        <v>2659.569</v>
      </c>
      <c r="I11" s="31">
        <v>2661.57</v>
      </c>
      <c r="J11" s="31">
        <v>2662.9569999999999</v>
      </c>
      <c r="K11" s="31">
        <v>2663.8789999999999</v>
      </c>
      <c r="L11" s="31">
        <v>2664.9360000000001</v>
      </c>
      <c r="M11" s="31">
        <v>2665.895</v>
      </c>
      <c r="N11" s="31">
        <v>2666.83</v>
      </c>
      <c r="O11" s="31">
        <v>2668.02</v>
      </c>
      <c r="P11" s="31">
        <v>2669.5859999999998</v>
      </c>
      <c r="Q11" s="31">
        <v>2670.866</v>
      </c>
      <c r="R11" s="31">
        <v>2672.1120000000001</v>
      </c>
      <c r="S11" s="31">
        <v>2673.674</v>
      </c>
      <c r="T11" s="31">
        <v>2674.7809999999999</v>
      </c>
      <c r="U11" s="31">
        <v>2675.8389999999999</v>
      </c>
      <c r="V11" s="31">
        <v>2676.8049999999998</v>
      </c>
      <c r="W11" s="31">
        <v>2677.703</v>
      </c>
      <c r="X11" s="31">
        <v>2678.8270000000002</v>
      </c>
      <c r="Y11" s="31">
        <v>2680.19</v>
      </c>
      <c r="Z11" s="31">
        <v>2681.2840000000001</v>
      </c>
      <c r="AA11" s="31">
        <v>2681.2869999999998</v>
      </c>
      <c r="AB11" s="31">
        <v>2682.105</v>
      </c>
      <c r="AC11" s="31">
        <v>2684.877</v>
      </c>
      <c r="AD11" s="31">
        <v>2685.7959999999998</v>
      </c>
      <c r="AE11" s="31">
        <v>2686.6179999999999</v>
      </c>
      <c r="AF11" s="31">
        <v>2687.9189999999999</v>
      </c>
      <c r="AG11" s="31">
        <v>2689.2150000000001</v>
      </c>
      <c r="AH11" s="31">
        <v>2690.3290000000002</v>
      </c>
      <c r="AI11" s="31">
        <v>2691.4549999999999</v>
      </c>
    </row>
    <row r="12" spans="1:42" s="8" customFormat="1" ht="25.7" customHeight="1" thickBot="1" x14ac:dyDescent="0.3">
      <c r="A12" s="98"/>
      <c r="B12" s="48"/>
      <c r="C12" s="96"/>
      <c r="D12" s="33"/>
      <c r="E12" s="33">
        <f t="shared" ref="E12:L12" si="64">E11-D11</f>
        <v>1.3600000000001273</v>
      </c>
      <c r="F12" s="33">
        <f t="shared" si="64"/>
        <v>1.0329999999999018</v>
      </c>
      <c r="G12" s="33">
        <f t="shared" si="64"/>
        <v>1.0170000000002801</v>
      </c>
      <c r="H12" s="33">
        <f t="shared" si="64"/>
        <v>1.4299999999998363</v>
      </c>
      <c r="I12" s="33">
        <f t="shared" si="64"/>
        <v>2.0010000000002037</v>
      </c>
      <c r="J12" s="33">
        <f t="shared" si="64"/>
        <v>1.3869999999997162</v>
      </c>
      <c r="K12" s="33">
        <f t="shared" si="64"/>
        <v>0.92200000000002547</v>
      </c>
      <c r="L12" s="33">
        <f t="shared" si="64"/>
        <v>1.0570000000002437</v>
      </c>
      <c r="M12" s="33">
        <f t="shared" ref="M12" si="65">M11-L11</f>
        <v>0.95899999999983265</v>
      </c>
      <c r="N12" s="33">
        <f t="shared" ref="N12" si="66">N11-M11</f>
        <v>0.93499999999994543</v>
      </c>
      <c r="O12" s="33">
        <f t="shared" si="2"/>
        <v>1.1900000000000546</v>
      </c>
      <c r="P12" s="33">
        <f t="shared" ref="P12" si="67">P11-O11</f>
        <v>1.5659999999998035</v>
      </c>
      <c r="Q12" s="33">
        <f t="shared" ref="Q12" si="68">Q11-P11</f>
        <v>1.2800000000002001</v>
      </c>
      <c r="R12" s="33">
        <f t="shared" ref="R12" si="69">R11-Q11</f>
        <v>1.2460000000000946</v>
      </c>
      <c r="S12" s="33">
        <f t="shared" ref="S12" si="70">S11-R11</f>
        <v>1.5619999999998981</v>
      </c>
      <c r="T12" s="33">
        <f t="shared" ref="T12" si="71">T11-S11</f>
        <v>1.1069999999999709</v>
      </c>
      <c r="U12" s="33">
        <f t="shared" ref="U12" si="72">U11-T11</f>
        <v>1.0579999999999927</v>
      </c>
      <c r="V12" s="33">
        <f t="shared" ref="V12" si="73">V11-U11</f>
        <v>0.9659999999998945</v>
      </c>
      <c r="W12" s="33">
        <f t="shared" ref="W12" si="74">W11-V11</f>
        <v>0.89800000000013824</v>
      </c>
      <c r="X12" s="33">
        <f t="shared" ref="X12" si="75">X11-W11</f>
        <v>1.124000000000251</v>
      </c>
      <c r="Y12" s="33">
        <f t="shared" ref="Y12" si="76">Y11-X11</f>
        <v>1.362999999999829</v>
      </c>
      <c r="Z12" s="33">
        <f t="shared" ref="Z12" si="77">Z11-Y11</f>
        <v>1.0940000000000509</v>
      </c>
      <c r="AA12" s="33">
        <f t="shared" ref="AA12" si="78">AA11-Z11</f>
        <v>2.9999999997016857E-3</v>
      </c>
      <c r="AB12" s="33">
        <f t="shared" ref="AB12" si="79">AB11-AA11</f>
        <v>0.818000000000211</v>
      </c>
      <c r="AC12" s="33">
        <f t="shared" ref="AC12" si="80">AC11-AB11</f>
        <v>2.7719999999999345</v>
      </c>
      <c r="AD12" s="33">
        <f t="shared" ref="AD12" si="81">AD11-AC11</f>
        <v>0.91899999999986903</v>
      </c>
      <c r="AE12" s="33">
        <f t="shared" ref="AE12" si="82">AE11-AD11</f>
        <v>0.82200000000011642</v>
      </c>
      <c r="AF12" s="33">
        <f t="shared" ref="AF12" si="83">AF11-AE11</f>
        <v>1.3009999999999309</v>
      </c>
      <c r="AG12" s="33">
        <f t="shared" ref="AG12:AI12" si="84">AG11-AF11</f>
        <v>1.2960000000002765</v>
      </c>
      <c r="AH12" s="33">
        <f t="shared" si="84"/>
        <v>1.1140000000000327</v>
      </c>
      <c r="AI12" s="33">
        <f t="shared" si="84"/>
        <v>1.125999999999749</v>
      </c>
    </row>
    <row r="13" spans="1:42" s="8" customFormat="1" ht="25.7" customHeight="1" x14ac:dyDescent="0.25">
      <c r="A13" s="97">
        <v>6</v>
      </c>
      <c r="B13" s="27">
        <v>65296485</v>
      </c>
      <c r="C13" s="96" t="s">
        <v>73</v>
      </c>
      <c r="D13" s="31">
        <v>3425.7739999999999</v>
      </c>
      <c r="E13" s="31">
        <v>3427.7429999999999</v>
      </c>
      <c r="F13" s="31">
        <v>3431.5540000000001</v>
      </c>
      <c r="G13" s="31">
        <v>3436.09</v>
      </c>
      <c r="H13" s="31">
        <v>3437.86</v>
      </c>
      <c r="I13" s="31">
        <v>3443.3789999999999</v>
      </c>
      <c r="J13" s="31">
        <v>3446.3710000000001</v>
      </c>
      <c r="K13" s="31">
        <v>3448.797</v>
      </c>
      <c r="L13" s="31">
        <v>3452.6030000000001</v>
      </c>
      <c r="M13" s="31">
        <v>3455.3090000000002</v>
      </c>
      <c r="N13" s="31">
        <v>3457.9589999999998</v>
      </c>
      <c r="O13" s="31">
        <v>3460.049</v>
      </c>
      <c r="P13" s="31">
        <v>3461.9169999999999</v>
      </c>
      <c r="Q13" s="31">
        <v>3465.0810000000001</v>
      </c>
      <c r="R13" s="31">
        <v>3468.971</v>
      </c>
      <c r="S13" s="31">
        <v>3470.6379999999999</v>
      </c>
      <c r="T13" s="31">
        <v>3472.5970000000002</v>
      </c>
      <c r="U13" s="31">
        <v>3475.366</v>
      </c>
      <c r="V13" s="31">
        <v>3478.1</v>
      </c>
      <c r="W13" s="31">
        <v>3480.739</v>
      </c>
      <c r="X13" s="31">
        <v>3485.7559999999999</v>
      </c>
      <c r="Y13" s="31">
        <v>3488.87</v>
      </c>
      <c r="Z13" s="31">
        <v>3490.5219999999999</v>
      </c>
      <c r="AA13" s="31">
        <v>3490.5259999999998</v>
      </c>
      <c r="AB13" s="31">
        <v>3490.5259999999998</v>
      </c>
      <c r="AC13" s="31">
        <v>3500.8240000000001</v>
      </c>
      <c r="AD13" s="31">
        <v>3502.92</v>
      </c>
      <c r="AE13" s="31">
        <v>3504.7840000000001</v>
      </c>
      <c r="AF13" s="31">
        <v>3508.607</v>
      </c>
      <c r="AG13" s="31">
        <v>3511.7289999999998</v>
      </c>
      <c r="AH13" s="31">
        <v>3515.4839999999999</v>
      </c>
      <c r="AI13" s="31">
        <v>3517.7260000000001</v>
      </c>
    </row>
    <row r="14" spans="1:42" s="8" customFormat="1" ht="25.7" customHeight="1" thickBot="1" x14ac:dyDescent="0.3">
      <c r="A14" s="98"/>
      <c r="B14" s="48"/>
      <c r="C14" s="96"/>
      <c r="D14" s="33"/>
      <c r="E14" s="33">
        <f t="shared" ref="E14:L14" si="85">E13-D13</f>
        <v>1.9690000000000509</v>
      </c>
      <c r="F14" s="33">
        <f t="shared" si="85"/>
        <v>3.8110000000001492</v>
      </c>
      <c r="G14" s="33">
        <f t="shared" si="85"/>
        <v>4.5360000000000582</v>
      </c>
      <c r="H14" s="33">
        <f t="shared" si="85"/>
        <v>1.7699999999999818</v>
      </c>
      <c r="I14" s="33">
        <f t="shared" si="85"/>
        <v>5.5189999999997781</v>
      </c>
      <c r="J14" s="33">
        <f t="shared" si="85"/>
        <v>2.9920000000001892</v>
      </c>
      <c r="K14" s="33">
        <f t="shared" si="85"/>
        <v>2.4259999999999309</v>
      </c>
      <c r="L14" s="33">
        <f t="shared" si="85"/>
        <v>3.80600000000004</v>
      </c>
      <c r="M14" s="33">
        <f t="shared" ref="M14" si="86">M13-L13</f>
        <v>2.706000000000131</v>
      </c>
      <c r="N14" s="33">
        <f t="shared" ref="N14" si="87">N13-M13</f>
        <v>2.6499999999996362</v>
      </c>
      <c r="O14" s="33">
        <f t="shared" si="2"/>
        <v>2.0900000000001455</v>
      </c>
      <c r="P14" s="33">
        <f t="shared" ref="P14" si="88">P13-O13</f>
        <v>1.8679999999999382</v>
      </c>
      <c r="Q14" s="33">
        <f t="shared" ref="Q14" si="89">Q13-P13</f>
        <v>3.1640000000002146</v>
      </c>
      <c r="R14" s="33">
        <f t="shared" ref="R14" si="90">R13-Q13</f>
        <v>3.8899999999998727</v>
      </c>
      <c r="S14" s="33">
        <f t="shared" ref="S14" si="91">S13-R13</f>
        <v>1.6669999999999163</v>
      </c>
      <c r="T14" s="33">
        <f t="shared" ref="T14" si="92">T13-S13</f>
        <v>1.9590000000002874</v>
      </c>
      <c r="U14" s="33">
        <f t="shared" ref="U14" si="93">U13-T13</f>
        <v>2.7689999999997781</v>
      </c>
      <c r="V14" s="33">
        <f t="shared" ref="V14" si="94">V13-U13</f>
        <v>2.7339999999999236</v>
      </c>
      <c r="W14" s="33">
        <f t="shared" ref="W14" si="95">W13-V13</f>
        <v>2.6390000000001237</v>
      </c>
      <c r="X14" s="33">
        <f t="shared" ref="X14" si="96">X13-W13</f>
        <v>5.0169999999998254</v>
      </c>
      <c r="Y14" s="33">
        <f t="shared" ref="Y14" si="97">Y13-X13</f>
        <v>3.1140000000000327</v>
      </c>
      <c r="Z14" s="33">
        <f t="shared" ref="Z14" si="98">Z13-Y13</f>
        <v>1.6520000000000437</v>
      </c>
      <c r="AA14" s="33">
        <f t="shared" ref="AA14" si="99">AA13-Z13</f>
        <v>3.9999999999054126E-3</v>
      </c>
      <c r="AB14" s="33">
        <f t="shared" ref="AB14" si="100">AB13-AA13</f>
        <v>0</v>
      </c>
      <c r="AC14" s="33">
        <f t="shared" ref="AC14" si="101">AC13-AB13</f>
        <v>10.298000000000229</v>
      </c>
      <c r="AD14" s="33">
        <f t="shared" ref="AD14" si="102">AD13-AC13</f>
        <v>2.0960000000000036</v>
      </c>
      <c r="AE14" s="33">
        <f t="shared" ref="AE14" si="103">AE13-AD13</f>
        <v>1.8640000000000327</v>
      </c>
      <c r="AF14" s="33">
        <f t="shared" ref="AF14" si="104">AF13-AE13</f>
        <v>3.8229999999998654</v>
      </c>
      <c r="AG14" s="33">
        <f t="shared" ref="AG14:AI14" si="105">AG13-AF13</f>
        <v>3.1219999999998436</v>
      </c>
      <c r="AH14" s="33">
        <f t="shared" si="105"/>
        <v>3.7550000000001091</v>
      </c>
      <c r="AI14" s="33">
        <f t="shared" si="105"/>
        <v>2.2420000000001892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90" t="s">
        <v>74</v>
      </c>
      <c r="C15" s="90"/>
      <c r="D15" s="50"/>
      <c r="E15" s="51">
        <f>E6+((E8*45%)+(E10*45%)+(E12+E14))</f>
        <v>343.81900000000542</v>
      </c>
      <c r="F15" s="51">
        <f t="shared" ref="F15:AI15" si="106">F6+((F8*45%)+(F10*45%)+(F12+F14))</f>
        <v>319.33399999997908</v>
      </c>
      <c r="G15" s="51">
        <f t="shared" si="106"/>
        <v>307.91300000002127</v>
      </c>
      <c r="H15" s="51">
        <f t="shared" si="106"/>
        <v>322.8499999999998</v>
      </c>
      <c r="I15" s="51">
        <f t="shared" si="106"/>
        <v>284.01499999998953</v>
      </c>
      <c r="J15" s="51">
        <f t="shared" si="106"/>
        <v>320.57899999999989</v>
      </c>
      <c r="K15" s="51">
        <f t="shared" si="106"/>
        <v>369.36799999998948</v>
      </c>
      <c r="L15" s="51">
        <f t="shared" si="106"/>
        <v>337.03300000001599</v>
      </c>
      <c r="M15" s="51">
        <f t="shared" si="106"/>
        <v>334.53499999998951</v>
      </c>
      <c r="N15" s="51">
        <f t="shared" si="106"/>
        <v>313.91500000001008</v>
      </c>
      <c r="O15" s="51">
        <f t="shared" si="106"/>
        <v>326.28499999998451</v>
      </c>
      <c r="P15" s="51">
        <f t="shared" si="106"/>
        <v>273.57900000001547</v>
      </c>
      <c r="Q15" s="51">
        <f t="shared" si="106"/>
        <v>342.71399999998994</v>
      </c>
      <c r="R15" s="51">
        <f t="shared" si="106"/>
        <v>354.36600000001044</v>
      </c>
      <c r="S15" s="51">
        <f t="shared" si="106"/>
        <v>405.77399999998931</v>
      </c>
      <c r="T15" s="51">
        <f t="shared" si="106"/>
        <v>333.62599999999503</v>
      </c>
      <c r="U15" s="51">
        <f t="shared" si="106"/>
        <v>406.25700000001024</v>
      </c>
      <c r="V15" s="51">
        <f t="shared" si="106"/>
        <v>319.86999999998932</v>
      </c>
      <c r="W15" s="51">
        <f t="shared" si="106"/>
        <v>270.26700000001074</v>
      </c>
      <c r="X15" s="51">
        <f t="shared" si="106"/>
        <v>294.52599999999484</v>
      </c>
      <c r="Y15" s="51">
        <f t="shared" si="106"/>
        <v>321.11199999999462</v>
      </c>
      <c r="Z15" s="51">
        <f t="shared" si="106"/>
        <v>333.37600000001055</v>
      </c>
      <c r="AA15" s="51">
        <f t="shared" si="106"/>
        <v>389.57200000000483</v>
      </c>
      <c r="AB15" s="51">
        <f t="shared" si="106"/>
        <v>329.88799999998974</v>
      </c>
      <c r="AC15" s="51">
        <f t="shared" si="106"/>
        <v>387.3100000000054</v>
      </c>
      <c r="AD15" s="51">
        <f t="shared" si="106"/>
        <v>278.7849999999894</v>
      </c>
      <c r="AE15" s="51">
        <f t="shared" si="106"/>
        <v>132.28100000001587</v>
      </c>
      <c r="AF15" s="51">
        <f t="shared" si="106"/>
        <v>561.9189999999893</v>
      </c>
      <c r="AG15" s="51">
        <f t="shared" si="106"/>
        <v>369.10299999999489</v>
      </c>
      <c r="AH15" s="51">
        <f t="shared" si="106"/>
        <v>372.39900000001063</v>
      </c>
      <c r="AI15" s="51">
        <f t="shared" si="106"/>
        <v>382.5830000000052</v>
      </c>
    </row>
    <row r="16" spans="1:42" ht="33" customHeight="1" x14ac:dyDescent="0.25">
      <c r="B16" s="89" t="s">
        <v>75</v>
      </c>
      <c r="C16" s="89"/>
      <c r="D16" s="50"/>
      <c r="E16" s="51">
        <f>SUM(E15:AI15)</f>
        <v>10438.953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5" ht="35.25" customHeight="1" x14ac:dyDescent="0.25">
      <c r="B17" s="8" t="s">
        <v>87</v>
      </c>
      <c r="E17" s="63">
        <v>8406.74</v>
      </c>
    </row>
    <row r="21" spans="2:5" s="2" customFormat="1" ht="70.5" customHeight="1" x14ac:dyDescent="0.25"/>
    <row r="22" spans="2:5" s="2" customFormat="1" ht="70.5" customHeight="1" x14ac:dyDescent="0.25"/>
    <row r="23" spans="2:5" s="2" customFormat="1" ht="70.5" customHeight="1" x14ac:dyDescent="0.25"/>
    <row r="24" spans="2:5" s="2" customFormat="1" ht="70.5" customHeight="1" x14ac:dyDescent="0.25"/>
    <row r="25" spans="2:5" s="2" customFormat="1" ht="70.5" customHeight="1" x14ac:dyDescent="0.25"/>
    <row r="26" spans="2:5" s="2" customFormat="1" ht="70.5" customHeight="1" x14ac:dyDescent="0.25"/>
    <row r="27" spans="2:5" s="2" customFormat="1" ht="70.5" customHeight="1" x14ac:dyDescent="0.25"/>
    <row r="28" spans="2:5" s="2" customFormat="1" ht="70.5" customHeight="1" x14ac:dyDescent="0.25"/>
    <row r="29" spans="2:5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5" type="noConversion"/>
  <printOptions horizontalCentered="1" verticalCentered="1"/>
  <pageMargins left="0.25" right="0.25" top="0.75" bottom="0.75" header="0.3" footer="0.3"/>
  <pageSetup paperSize="8" scale="54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E04D-592C-4C8E-B760-4650AD8D8388}">
  <sheetPr>
    <pageSetUpPr fitToPage="1"/>
  </sheetPr>
  <dimension ref="A1:AG13"/>
  <sheetViews>
    <sheetView zoomScaleNormal="100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6" customWidth="1"/>
    <col min="2" max="2" width="13.5703125" customWidth="1"/>
    <col min="3" max="4" width="10.7109375" customWidth="1"/>
    <col min="5" max="5" width="12.28515625" bestFit="1" customWidth="1"/>
  </cols>
  <sheetData>
    <row r="1" spans="1:33" ht="54.75" customHeight="1" x14ac:dyDescent="0.25">
      <c r="A1" s="104" t="s">
        <v>89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</row>
    <row r="3" spans="1:33" ht="43.5" customHeight="1" x14ac:dyDescent="0.25">
      <c r="A3" s="57"/>
      <c r="B3" s="58" t="s">
        <v>35</v>
      </c>
      <c r="C3" s="59">
        <v>1</v>
      </c>
      <c r="D3" s="59">
        <v>2</v>
      </c>
      <c r="E3" s="59">
        <v>3</v>
      </c>
      <c r="F3" s="59">
        <v>4</v>
      </c>
      <c r="G3" s="59">
        <v>5</v>
      </c>
      <c r="H3" s="59">
        <v>6</v>
      </c>
      <c r="I3" s="59">
        <v>7</v>
      </c>
      <c r="J3" s="59">
        <v>8</v>
      </c>
      <c r="K3" s="59">
        <v>9</v>
      </c>
      <c r="L3" s="59">
        <v>10</v>
      </c>
      <c r="M3" s="59">
        <v>11</v>
      </c>
      <c r="N3" s="59">
        <v>12</v>
      </c>
      <c r="O3" s="59">
        <v>13</v>
      </c>
      <c r="P3" s="59">
        <v>14</v>
      </c>
      <c r="Q3" s="59">
        <v>15</v>
      </c>
      <c r="R3" s="59">
        <v>16</v>
      </c>
      <c r="S3" s="59">
        <v>17</v>
      </c>
      <c r="T3" s="59">
        <v>18</v>
      </c>
      <c r="U3" s="59">
        <v>19</v>
      </c>
      <c r="V3" s="59">
        <v>20</v>
      </c>
      <c r="W3" s="59">
        <v>21</v>
      </c>
      <c r="X3" s="59">
        <v>22</v>
      </c>
      <c r="Y3" s="59">
        <v>23</v>
      </c>
      <c r="Z3" s="59">
        <v>24</v>
      </c>
      <c r="AA3" s="59">
        <v>25</v>
      </c>
      <c r="AB3" s="59">
        <v>26</v>
      </c>
      <c r="AC3" s="59">
        <v>27</v>
      </c>
      <c r="AD3" s="59">
        <v>28</v>
      </c>
      <c r="AE3" s="59">
        <v>29</v>
      </c>
      <c r="AF3" s="59">
        <v>30</v>
      </c>
      <c r="AG3" s="59">
        <v>31</v>
      </c>
    </row>
    <row r="4" spans="1:33" ht="39.950000000000003" customHeight="1" x14ac:dyDescent="0.25">
      <c r="A4" s="59" t="s">
        <v>80</v>
      </c>
      <c r="B4" s="60">
        <v>303494</v>
      </c>
      <c r="C4" s="66">
        <v>304250</v>
      </c>
      <c r="D4" s="66">
        <v>304950</v>
      </c>
      <c r="E4" s="66">
        <v>304950</v>
      </c>
      <c r="F4" s="66">
        <v>306455</v>
      </c>
      <c r="G4" s="66">
        <v>307340</v>
      </c>
      <c r="H4" s="66">
        <v>308112</v>
      </c>
      <c r="I4" s="66">
        <v>308959</v>
      </c>
      <c r="J4" s="66">
        <v>309827</v>
      </c>
      <c r="K4" s="66">
        <v>310585</v>
      </c>
      <c r="L4" s="66">
        <v>311350</v>
      </c>
      <c r="M4" s="66">
        <v>312245</v>
      </c>
      <c r="N4" s="66">
        <v>313111</v>
      </c>
      <c r="O4" s="66">
        <v>313893</v>
      </c>
      <c r="P4" s="66">
        <v>314703</v>
      </c>
      <c r="Q4" s="66">
        <v>315548</v>
      </c>
      <c r="R4" s="66">
        <v>316350</v>
      </c>
      <c r="S4" s="66">
        <v>317150</v>
      </c>
      <c r="T4" s="66">
        <v>318044</v>
      </c>
      <c r="U4" s="66">
        <v>318857</v>
      </c>
      <c r="V4" s="66">
        <v>319669</v>
      </c>
      <c r="W4" s="66">
        <v>320485</v>
      </c>
      <c r="X4" s="66">
        <v>321205</v>
      </c>
      <c r="Y4" s="67">
        <v>321990</v>
      </c>
      <c r="Z4" s="66">
        <v>322750</v>
      </c>
      <c r="AA4" s="66">
        <v>323782</v>
      </c>
      <c r="AB4" s="66">
        <v>324607</v>
      </c>
      <c r="AC4" s="66">
        <v>325424</v>
      </c>
      <c r="AD4" s="66">
        <v>326237</v>
      </c>
      <c r="AE4" s="66">
        <v>327142</v>
      </c>
      <c r="AF4" s="66">
        <v>327980</v>
      </c>
      <c r="AG4" s="66">
        <v>328810</v>
      </c>
    </row>
    <row r="5" spans="1:33" ht="39.950000000000003" customHeight="1" x14ac:dyDescent="0.25">
      <c r="A5" s="59"/>
      <c r="B5" s="60"/>
      <c r="C5" s="62">
        <f>(C4-B4)*3.2</f>
        <v>2419.2000000000003</v>
      </c>
      <c r="D5" s="62">
        <f t="shared" ref="D5:AC5" si="0">(D4-C4)*3.2</f>
        <v>2240</v>
      </c>
      <c r="E5" s="62">
        <f t="shared" si="0"/>
        <v>0</v>
      </c>
      <c r="F5" s="62">
        <f t="shared" si="0"/>
        <v>4816</v>
      </c>
      <c r="G5" s="62">
        <f t="shared" si="0"/>
        <v>2832</v>
      </c>
      <c r="H5" s="62">
        <f t="shared" si="0"/>
        <v>2470.4</v>
      </c>
      <c r="I5" s="62">
        <f t="shared" si="0"/>
        <v>2710.4</v>
      </c>
      <c r="J5" s="62">
        <f t="shared" si="0"/>
        <v>2777.6000000000004</v>
      </c>
      <c r="K5" s="62">
        <f t="shared" si="0"/>
        <v>2425.6</v>
      </c>
      <c r="L5" s="62">
        <f t="shared" si="0"/>
        <v>2448</v>
      </c>
      <c r="M5" s="62">
        <f t="shared" si="0"/>
        <v>2864</v>
      </c>
      <c r="N5" s="62">
        <f t="shared" si="0"/>
        <v>2771.2000000000003</v>
      </c>
      <c r="O5" s="62">
        <f t="shared" si="0"/>
        <v>2502.4</v>
      </c>
      <c r="P5" s="62">
        <f t="shared" si="0"/>
        <v>2592</v>
      </c>
      <c r="Q5" s="62">
        <f t="shared" si="0"/>
        <v>2704</v>
      </c>
      <c r="R5" s="62">
        <f t="shared" si="0"/>
        <v>2566.4</v>
      </c>
      <c r="S5" s="62">
        <f t="shared" si="0"/>
        <v>2560</v>
      </c>
      <c r="T5" s="62">
        <f t="shared" si="0"/>
        <v>2860.8</v>
      </c>
      <c r="U5" s="62">
        <f t="shared" si="0"/>
        <v>2601.6000000000004</v>
      </c>
      <c r="V5" s="62">
        <f t="shared" si="0"/>
        <v>2598.4</v>
      </c>
      <c r="W5" s="62">
        <f t="shared" si="0"/>
        <v>2611.2000000000003</v>
      </c>
      <c r="X5" s="62">
        <f t="shared" si="0"/>
        <v>2304</v>
      </c>
      <c r="Y5" s="62">
        <f t="shared" si="0"/>
        <v>2512</v>
      </c>
      <c r="Z5" s="62">
        <f t="shared" si="0"/>
        <v>2432</v>
      </c>
      <c r="AA5" s="62">
        <f t="shared" si="0"/>
        <v>3302.4</v>
      </c>
      <c r="AB5" s="62">
        <f t="shared" si="0"/>
        <v>2640</v>
      </c>
      <c r="AC5" s="62">
        <f t="shared" si="0"/>
        <v>2614.4</v>
      </c>
      <c r="AD5" s="62">
        <f>(AD4-AC4)*3.2</f>
        <v>2601.6000000000004</v>
      </c>
      <c r="AE5" s="62">
        <f t="shared" ref="AE5:AG5" si="1">(AE4-AD4)*3.2</f>
        <v>2896</v>
      </c>
      <c r="AF5" s="62">
        <f t="shared" si="1"/>
        <v>2681.6000000000004</v>
      </c>
      <c r="AG5" s="62">
        <f t="shared" si="1"/>
        <v>2656</v>
      </c>
    </row>
    <row r="6" spans="1:33" ht="39.950000000000003" customHeight="1" x14ac:dyDescent="0.25">
      <c r="A6" s="59" t="s">
        <v>81</v>
      </c>
      <c r="B6" s="60">
        <v>296798.18</v>
      </c>
      <c r="C6" s="66">
        <v>296815.42</v>
      </c>
      <c r="D6" s="66">
        <v>296829.92</v>
      </c>
      <c r="E6" s="66">
        <v>296829.92</v>
      </c>
      <c r="F6" s="66">
        <v>296906.8</v>
      </c>
      <c r="G6" s="66">
        <v>296930.61</v>
      </c>
      <c r="H6" s="66">
        <v>296964.98</v>
      </c>
      <c r="I6" s="66">
        <v>296987.19</v>
      </c>
      <c r="J6" s="66">
        <v>297007.72000000003</v>
      </c>
      <c r="K6" s="66">
        <v>297027.65000000002</v>
      </c>
      <c r="L6" s="66">
        <v>297048.40000000002</v>
      </c>
      <c r="M6" s="66">
        <v>297089.81000000006</v>
      </c>
      <c r="N6" s="66">
        <v>297119.48</v>
      </c>
      <c r="O6" s="66">
        <v>297153.8</v>
      </c>
      <c r="P6" s="66">
        <v>297181.03999999998</v>
      </c>
      <c r="Q6" s="66">
        <v>297207.48000000004</v>
      </c>
      <c r="R6" s="66">
        <v>297232.25</v>
      </c>
      <c r="S6" s="66">
        <v>297258.77</v>
      </c>
      <c r="T6" s="66">
        <v>297275.36</v>
      </c>
      <c r="U6" s="66">
        <v>297319.15000000002</v>
      </c>
      <c r="V6" s="66">
        <v>297346.21999999997</v>
      </c>
      <c r="W6" s="66">
        <v>297363.3</v>
      </c>
      <c r="X6" s="66">
        <v>297393.40999999997</v>
      </c>
      <c r="Y6" s="66">
        <v>297416.98</v>
      </c>
      <c r="Z6" s="66">
        <v>297445.02000000008</v>
      </c>
      <c r="AA6" s="66">
        <v>297476.88</v>
      </c>
      <c r="AB6" s="66">
        <v>297504.90999999997</v>
      </c>
      <c r="AC6" s="66">
        <v>297525.38</v>
      </c>
      <c r="AD6" s="66">
        <v>297554</v>
      </c>
      <c r="AE6" s="66">
        <v>297578</v>
      </c>
      <c r="AF6" s="66">
        <v>297600</v>
      </c>
      <c r="AG6" s="66">
        <v>297622</v>
      </c>
    </row>
    <row r="7" spans="1:33" ht="39.950000000000003" customHeight="1" x14ac:dyDescent="0.25">
      <c r="A7" s="59"/>
      <c r="B7" s="60"/>
      <c r="C7" s="62">
        <f>(C6-B6)*3.2</f>
        <v>55.167999999970199</v>
      </c>
      <c r="D7" s="62">
        <f t="shared" ref="D7:AC7" si="2">(D6-C6)*3.2</f>
        <v>46.400000000000006</v>
      </c>
      <c r="E7" s="62">
        <f t="shared" si="2"/>
        <v>0</v>
      </c>
      <c r="F7" s="62">
        <f t="shared" si="2"/>
        <v>246.01600000001491</v>
      </c>
      <c r="G7" s="62">
        <f t="shared" si="2"/>
        <v>76.191999999992547</v>
      </c>
      <c r="H7" s="62">
        <f t="shared" si="2"/>
        <v>109.9839999999851</v>
      </c>
      <c r="I7" s="62">
        <f t="shared" si="2"/>
        <v>71.072000000067064</v>
      </c>
      <c r="J7" s="62">
        <f t="shared" si="2"/>
        <v>65.696000000089413</v>
      </c>
      <c r="K7" s="62">
        <f t="shared" si="2"/>
        <v>63.77599999997765</v>
      </c>
      <c r="L7" s="62">
        <f t="shared" si="2"/>
        <v>66.400000000000006</v>
      </c>
      <c r="M7" s="62">
        <f t="shared" si="2"/>
        <v>132.51200000010431</v>
      </c>
      <c r="N7" s="62">
        <f t="shared" si="2"/>
        <v>94.943999999761587</v>
      </c>
      <c r="O7" s="62">
        <f t="shared" si="2"/>
        <v>109.82400000002235</v>
      </c>
      <c r="P7" s="62">
        <f t="shared" si="2"/>
        <v>87.167999999970206</v>
      </c>
      <c r="Q7" s="62">
        <f t="shared" si="2"/>
        <v>84.608000000193726</v>
      </c>
      <c r="R7" s="62">
        <f t="shared" si="2"/>
        <v>79.263999999873349</v>
      </c>
      <c r="S7" s="62">
        <f t="shared" si="2"/>
        <v>84.864000000059605</v>
      </c>
      <c r="T7" s="62">
        <f t="shared" si="2"/>
        <v>53.087999999895693</v>
      </c>
      <c r="U7" s="62">
        <f t="shared" si="2"/>
        <v>140.12800000011921</v>
      </c>
      <c r="V7" s="62">
        <f t="shared" si="2"/>
        <v>86.623999999836087</v>
      </c>
      <c r="W7" s="62">
        <f t="shared" si="2"/>
        <v>54.65600000005216</v>
      </c>
      <c r="X7" s="62">
        <f t="shared" si="2"/>
        <v>96.351999999955297</v>
      </c>
      <c r="Y7" s="62">
        <f t="shared" si="2"/>
        <v>75.42400000002236</v>
      </c>
      <c r="Z7" s="62">
        <f t="shared" si="2"/>
        <v>89.728000000305485</v>
      </c>
      <c r="AA7" s="62">
        <f t="shared" si="2"/>
        <v>101.95199999976904</v>
      </c>
      <c r="AB7" s="62">
        <f t="shared" si="2"/>
        <v>89.695999999903151</v>
      </c>
      <c r="AC7" s="62">
        <f t="shared" si="2"/>
        <v>65.504000000096866</v>
      </c>
      <c r="AD7" s="62">
        <f t="shared" ref="AD7" si="3">(AD6-AC6)*3.2</f>
        <v>91.58399999998511</v>
      </c>
      <c r="AE7" s="62">
        <f t="shared" ref="AE7:AG7" si="4">(AE6-AD6)*3.2</f>
        <v>76.800000000000011</v>
      </c>
      <c r="AF7" s="62">
        <f t="shared" si="4"/>
        <v>70.400000000000006</v>
      </c>
      <c r="AG7" s="62">
        <f t="shared" si="4"/>
        <v>70.400000000000006</v>
      </c>
    </row>
    <row r="8" spans="1:33" ht="39.950000000000003" customHeight="1" x14ac:dyDescent="0.25">
      <c r="A8" s="105" t="s">
        <v>82</v>
      </c>
      <c r="B8" s="106"/>
      <c r="C8" s="61">
        <f>C5+C7</f>
        <v>2474.3679999999704</v>
      </c>
      <c r="D8" s="61">
        <f t="shared" ref="D8:AF8" si="5">D5+D7</f>
        <v>2286.4</v>
      </c>
      <c r="E8" s="61">
        <f t="shared" si="5"/>
        <v>0</v>
      </c>
      <c r="F8" s="61">
        <f t="shared" si="5"/>
        <v>5062.0160000000151</v>
      </c>
      <c r="G8" s="61">
        <f t="shared" si="5"/>
        <v>2908.1919999999927</v>
      </c>
      <c r="H8" s="61">
        <f t="shared" si="5"/>
        <v>2580.383999999985</v>
      </c>
      <c r="I8" s="61">
        <f t="shared" si="5"/>
        <v>2781.4720000000671</v>
      </c>
      <c r="J8" s="61">
        <f t="shared" si="5"/>
        <v>2843.2960000000899</v>
      </c>
      <c r="K8" s="61">
        <f t="shared" si="5"/>
        <v>2489.3759999999775</v>
      </c>
      <c r="L8" s="61">
        <f t="shared" si="5"/>
        <v>2514.4</v>
      </c>
      <c r="M8" s="61">
        <f t="shared" si="5"/>
        <v>2996.5120000001043</v>
      </c>
      <c r="N8" s="61">
        <f t="shared" si="5"/>
        <v>2866.1439999997619</v>
      </c>
      <c r="O8" s="61">
        <f t="shared" si="5"/>
        <v>2612.2240000000224</v>
      </c>
      <c r="P8" s="61">
        <f t="shared" si="5"/>
        <v>2679.1679999999701</v>
      </c>
      <c r="Q8" s="61">
        <f t="shared" si="5"/>
        <v>2788.6080000001939</v>
      </c>
      <c r="R8" s="61">
        <f t="shared" si="5"/>
        <v>2645.6639999998733</v>
      </c>
      <c r="S8" s="61">
        <f t="shared" si="5"/>
        <v>2644.8640000000596</v>
      </c>
      <c r="T8" s="61">
        <f t="shared" si="5"/>
        <v>2913.8879999998958</v>
      </c>
      <c r="U8" s="61">
        <f t="shared" si="5"/>
        <v>2741.7280000001197</v>
      </c>
      <c r="V8" s="61">
        <f t="shared" si="5"/>
        <v>2685.0239999998362</v>
      </c>
      <c r="W8" s="61">
        <f t="shared" si="5"/>
        <v>2665.8560000000525</v>
      </c>
      <c r="X8" s="61">
        <f t="shared" si="5"/>
        <v>2400.3519999999553</v>
      </c>
      <c r="Y8" s="61">
        <f t="shared" si="5"/>
        <v>2587.4240000000223</v>
      </c>
      <c r="Z8" s="61">
        <f t="shared" si="5"/>
        <v>2521.7280000003057</v>
      </c>
      <c r="AA8" s="61">
        <f t="shared" si="5"/>
        <v>3404.3519999997693</v>
      </c>
      <c r="AB8" s="61">
        <f t="shared" si="5"/>
        <v>2729.6959999999031</v>
      </c>
      <c r="AC8" s="61">
        <f t="shared" si="5"/>
        <v>2679.9040000000969</v>
      </c>
      <c r="AD8" s="61">
        <f t="shared" si="5"/>
        <v>2693.1839999999856</v>
      </c>
      <c r="AE8" s="61">
        <f t="shared" si="5"/>
        <v>2972.8</v>
      </c>
      <c r="AF8" s="61">
        <f t="shared" si="5"/>
        <v>2752.0000000000005</v>
      </c>
      <c r="AG8" s="61">
        <f t="shared" ref="AG8" si="6">AG5+AG7</f>
        <v>2726.4</v>
      </c>
    </row>
    <row r="9" spans="1:33" ht="39.950000000000003" customHeight="1" x14ac:dyDescent="0.25">
      <c r="A9" s="105" t="s">
        <v>83</v>
      </c>
      <c r="B9" s="106"/>
      <c r="C9" s="101">
        <f>SUM(C5:AG5)</f>
        <v>81011.200000000012</v>
      </c>
      <c r="D9" s="102"/>
      <c r="E9" s="103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33" ht="39.950000000000003" customHeight="1" x14ac:dyDescent="0.25">
      <c r="A10" s="105" t="s">
        <v>84</v>
      </c>
      <c r="B10" s="106"/>
      <c r="C10" s="101">
        <f>SUM(C7:AG7)</f>
        <v>2636.2240000000229</v>
      </c>
      <c r="D10" s="102"/>
      <c r="E10" s="103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</row>
    <row r="11" spans="1:33" ht="39.950000000000003" customHeight="1" x14ac:dyDescent="0.25">
      <c r="A11" s="99" t="s">
        <v>85</v>
      </c>
      <c r="B11" s="100"/>
      <c r="C11" s="101">
        <f>SUM(C8:AG8)</f>
        <v>83647.424000000028</v>
      </c>
      <c r="D11" s="102"/>
      <c r="E11" s="103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</row>
    <row r="13" spans="1:33" x14ac:dyDescent="0.25">
      <c r="A13" t="s">
        <v>87</v>
      </c>
      <c r="C13" s="65">
        <v>79927.3</v>
      </c>
    </row>
  </sheetData>
  <mergeCells count="8">
    <mergeCell ref="A11:B11"/>
    <mergeCell ref="C11:E11"/>
    <mergeCell ref="A1:AG1"/>
    <mergeCell ref="A8:B8"/>
    <mergeCell ref="A9:B9"/>
    <mergeCell ref="C9:E9"/>
    <mergeCell ref="A10:B10"/>
    <mergeCell ref="C10:E10"/>
  </mergeCells>
  <printOptions horizontalCentered="1"/>
  <pageMargins left="0" right="0" top="0" bottom="0" header="0.3" footer="0.3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8" zoomScaleNormal="100" workbookViewId="0">
      <selection activeCell="D33" sqref="D33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7" t="s">
        <v>92</v>
      </c>
      <c r="B1" s="107"/>
      <c r="C1" s="107"/>
    </row>
    <row r="2" spans="1:3" ht="24.95" customHeight="1" x14ac:dyDescent="0.25">
      <c r="A2" s="53" t="s">
        <v>76</v>
      </c>
      <c r="B2" s="53" t="s">
        <v>77</v>
      </c>
      <c r="C2" s="53" t="s">
        <v>78</v>
      </c>
    </row>
    <row r="3" spans="1:3" ht="24.95" customHeight="1" x14ac:dyDescent="0.25">
      <c r="A3" s="54">
        <v>45839</v>
      </c>
      <c r="B3" s="55">
        <v>338</v>
      </c>
      <c r="C3" s="55">
        <v>512</v>
      </c>
    </row>
    <row r="4" spans="1:3" ht="24.95" customHeight="1" x14ac:dyDescent="0.25">
      <c r="A4" s="54">
        <v>45840</v>
      </c>
      <c r="B4" s="55">
        <v>330</v>
      </c>
      <c r="C4" s="55">
        <v>492</v>
      </c>
    </row>
    <row r="5" spans="1:3" ht="24.95" customHeight="1" x14ac:dyDescent="0.25">
      <c r="A5" s="54">
        <v>45841</v>
      </c>
      <c r="B5" s="55">
        <v>326</v>
      </c>
      <c r="C5" s="55">
        <v>491</v>
      </c>
    </row>
    <row r="6" spans="1:3" ht="24.95" customHeight="1" x14ac:dyDescent="0.25">
      <c r="A6" s="54">
        <v>45842</v>
      </c>
      <c r="B6" s="55">
        <v>311</v>
      </c>
      <c r="C6" s="55">
        <v>493</v>
      </c>
    </row>
    <row r="7" spans="1:3" ht="24.95" customHeight="1" x14ac:dyDescent="0.25">
      <c r="A7" s="54">
        <v>45843</v>
      </c>
      <c r="B7" s="55">
        <v>319</v>
      </c>
      <c r="C7" s="55">
        <v>492</v>
      </c>
    </row>
    <row r="8" spans="1:3" ht="24.95" customHeight="1" x14ac:dyDescent="0.25">
      <c r="A8" s="54">
        <v>45844</v>
      </c>
      <c r="B8" s="55">
        <v>318</v>
      </c>
      <c r="C8" s="55">
        <v>464</v>
      </c>
    </row>
    <row r="9" spans="1:3" ht="24.95" customHeight="1" x14ac:dyDescent="0.25">
      <c r="A9" s="54">
        <v>45845</v>
      </c>
      <c r="B9" s="55">
        <v>354</v>
      </c>
      <c r="C9" s="55">
        <v>529</v>
      </c>
    </row>
    <row r="10" spans="1:3" ht="24.95" customHeight="1" x14ac:dyDescent="0.25">
      <c r="A10" s="54">
        <v>45846</v>
      </c>
      <c r="B10" s="55">
        <v>372</v>
      </c>
      <c r="C10" s="55">
        <v>585</v>
      </c>
    </row>
    <row r="11" spans="1:3" ht="24.95" customHeight="1" x14ac:dyDescent="0.25">
      <c r="A11" s="54">
        <v>45847</v>
      </c>
      <c r="B11" s="55">
        <v>372</v>
      </c>
      <c r="C11" s="55">
        <v>552</v>
      </c>
    </row>
    <row r="12" spans="1:3" ht="24.95" customHeight="1" x14ac:dyDescent="0.25">
      <c r="A12" s="54">
        <v>45848</v>
      </c>
      <c r="B12" s="55">
        <v>326</v>
      </c>
      <c r="C12" s="55">
        <v>488</v>
      </c>
    </row>
    <row r="13" spans="1:3" ht="24.95" customHeight="1" x14ac:dyDescent="0.25">
      <c r="A13" s="54">
        <v>45849</v>
      </c>
      <c r="B13" s="55">
        <v>335</v>
      </c>
      <c r="C13" s="55">
        <v>518</v>
      </c>
    </row>
    <row r="14" spans="1:3" ht="24.95" customHeight="1" x14ac:dyDescent="0.25">
      <c r="A14" s="54">
        <v>45850</v>
      </c>
      <c r="B14" s="55">
        <v>333</v>
      </c>
      <c r="C14" s="55">
        <v>523</v>
      </c>
    </row>
    <row r="15" spans="1:3" ht="24.95" customHeight="1" x14ac:dyDescent="0.25">
      <c r="A15" s="54">
        <v>45851</v>
      </c>
      <c r="B15" s="55">
        <v>385</v>
      </c>
      <c r="C15" s="55">
        <v>567</v>
      </c>
    </row>
    <row r="16" spans="1:3" ht="24.95" customHeight="1" x14ac:dyDescent="0.25">
      <c r="A16" s="54">
        <v>45852</v>
      </c>
      <c r="B16" s="55">
        <v>465</v>
      </c>
      <c r="C16" s="55">
        <v>682</v>
      </c>
    </row>
    <row r="17" spans="1:3" ht="24.95" customHeight="1" x14ac:dyDescent="0.25">
      <c r="A17" s="54">
        <v>45853</v>
      </c>
      <c r="B17" s="55">
        <v>478</v>
      </c>
      <c r="C17" s="55">
        <v>703</v>
      </c>
    </row>
    <row r="18" spans="1:3" ht="24.95" customHeight="1" x14ac:dyDescent="0.25">
      <c r="A18" s="54">
        <v>45854</v>
      </c>
      <c r="B18" s="55">
        <v>397</v>
      </c>
      <c r="C18" s="55">
        <v>577</v>
      </c>
    </row>
    <row r="19" spans="1:3" ht="24.95" customHeight="1" x14ac:dyDescent="0.25">
      <c r="A19" s="54">
        <v>45855</v>
      </c>
      <c r="B19" s="55">
        <v>352</v>
      </c>
      <c r="C19" s="55">
        <v>528</v>
      </c>
    </row>
    <row r="20" spans="1:3" ht="24.95" customHeight="1" x14ac:dyDescent="0.25">
      <c r="A20" s="54">
        <v>45856</v>
      </c>
      <c r="B20" s="55">
        <v>320</v>
      </c>
      <c r="C20" s="55">
        <v>512</v>
      </c>
    </row>
    <row r="21" spans="1:3" ht="24.95" customHeight="1" x14ac:dyDescent="0.25">
      <c r="A21" s="54">
        <v>45857</v>
      </c>
      <c r="B21" s="55">
        <v>325</v>
      </c>
      <c r="C21" s="55">
        <v>527</v>
      </c>
    </row>
    <row r="22" spans="1:3" ht="24.95" customHeight="1" x14ac:dyDescent="0.25">
      <c r="A22" s="54">
        <v>45858</v>
      </c>
      <c r="B22" s="55">
        <v>347</v>
      </c>
      <c r="C22" s="55">
        <v>541</v>
      </c>
    </row>
    <row r="23" spans="1:3" ht="24.95" customHeight="1" x14ac:dyDescent="0.25">
      <c r="A23" s="54">
        <v>45859</v>
      </c>
      <c r="B23" s="55">
        <v>386</v>
      </c>
      <c r="C23" s="55">
        <v>589</v>
      </c>
    </row>
    <row r="24" spans="1:3" ht="24.95" customHeight="1" x14ac:dyDescent="0.25">
      <c r="A24" s="54">
        <v>45860</v>
      </c>
      <c r="B24" s="55">
        <v>437</v>
      </c>
      <c r="C24" s="55">
        <v>694</v>
      </c>
    </row>
    <row r="25" spans="1:3" ht="24.95" customHeight="1" x14ac:dyDescent="0.25">
      <c r="A25" s="54">
        <v>45861</v>
      </c>
      <c r="B25" s="55">
        <v>440</v>
      </c>
      <c r="C25" s="55">
        <v>688</v>
      </c>
    </row>
    <row r="26" spans="1:3" ht="24.95" customHeight="1" x14ac:dyDescent="0.25">
      <c r="A26" s="54">
        <v>45862</v>
      </c>
      <c r="B26" s="55">
        <v>395</v>
      </c>
      <c r="C26" s="55">
        <v>618</v>
      </c>
    </row>
    <row r="27" spans="1:3" ht="24.95" customHeight="1" x14ac:dyDescent="0.25">
      <c r="A27" s="54">
        <v>45863</v>
      </c>
      <c r="B27" s="55">
        <v>354</v>
      </c>
      <c r="C27" s="55">
        <v>592</v>
      </c>
    </row>
    <row r="28" spans="1:3" ht="24.95" customHeight="1" x14ac:dyDescent="0.25">
      <c r="A28" s="54">
        <v>45864</v>
      </c>
      <c r="B28" s="55">
        <v>363</v>
      </c>
      <c r="C28" s="55">
        <v>604</v>
      </c>
    </row>
    <row r="29" spans="1:3" ht="24.95" customHeight="1" x14ac:dyDescent="0.25">
      <c r="A29" s="54">
        <v>45865</v>
      </c>
      <c r="B29" s="55">
        <v>419</v>
      </c>
      <c r="C29" s="55">
        <v>665</v>
      </c>
    </row>
    <row r="30" spans="1:3" ht="24.95" customHeight="1" x14ac:dyDescent="0.25">
      <c r="A30" s="54">
        <v>45866</v>
      </c>
      <c r="B30" s="55">
        <v>478</v>
      </c>
      <c r="C30" s="55">
        <v>781</v>
      </c>
    </row>
    <row r="31" spans="1:3" ht="24.95" customHeight="1" x14ac:dyDescent="0.25">
      <c r="A31" s="54">
        <v>45867</v>
      </c>
      <c r="B31" s="55">
        <v>475</v>
      </c>
      <c r="C31" s="55">
        <v>771</v>
      </c>
    </row>
    <row r="32" spans="1:3" ht="24.95" customHeight="1" x14ac:dyDescent="0.25">
      <c r="A32" s="54">
        <v>45868</v>
      </c>
      <c r="B32" s="55">
        <v>453</v>
      </c>
      <c r="C32" s="55">
        <v>703</v>
      </c>
    </row>
    <row r="33" spans="1:3" ht="24.95" customHeight="1" x14ac:dyDescent="0.25">
      <c r="A33" s="54">
        <v>45869</v>
      </c>
      <c r="B33" s="55">
        <v>398</v>
      </c>
      <c r="C33" s="55">
        <v>632</v>
      </c>
    </row>
    <row r="34" spans="1:3" ht="30.75" customHeight="1" x14ac:dyDescent="0.25">
      <c r="A34" s="53" t="s">
        <v>79</v>
      </c>
      <c r="B34" s="56">
        <f>SUM(B3:B33)</f>
        <v>11701</v>
      </c>
      <c r="C34" s="56">
        <f>SUM(C3:C33)</f>
        <v>18113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cp:lastPrinted>2025-07-01T06:33:49Z</cp:lastPrinted>
  <dcterms:created xsi:type="dcterms:W3CDTF">2019-05-13T11:08:30Z</dcterms:created>
  <dcterms:modified xsi:type="dcterms:W3CDTF">2025-08-07T14:04:12Z</dcterms:modified>
  <cp:category/>
  <cp:contentStatus/>
</cp:coreProperties>
</file>