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Engineering\HEP\"/>
    </mc:Choice>
  </mc:AlternateContent>
  <xr:revisionPtr revIDLastSave="0" documentId="13_ncr:1_{81A47CCB-86EF-4C89-9C9D-3FB6B04AB72B}" xr6:coauthVersionLast="47" xr6:coauthVersionMax="47" xr10:uidLastSave="{00000000-0000-0000-0000-000000000000}"/>
  <bookViews>
    <workbookView showVerticalScroll="0" xWindow="-120" yWindow="-120" windowWidth="29040" windowHeight="15720" tabRatio="912" xr2:uid="{00000000-000D-0000-FFFF-FFFF00000000}"/>
  </bookViews>
  <sheets>
    <sheet name="Total" sheetId="50" r:id="rId1"/>
    <sheet name="April25" sheetId="51" r:id="rId2"/>
  </sheets>
  <definedNames>
    <definedName name="شت8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7" i="51" l="1"/>
  <c r="E2" i="50"/>
  <c r="P48" i="51"/>
  <c r="P46" i="51"/>
  <c r="P44" i="51"/>
  <c r="F43" i="51"/>
  <c r="O42" i="51"/>
  <c r="O44" i="51" s="1"/>
  <c r="P47" i="51" s="1"/>
  <c r="K42" i="51"/>
  <c r="F42" i="51"/>
  <c r="E32" i="50" s="1"/>
  <c r="O41" i="51"/>
  <c r="K41" i="51"/>
  <c r="F41" i="51"/>
  <c r="G41" i="51" s="1"/>
  <c r="E30" i="50" s="1"/>
  <c r="K40" i="51"/>
  <c r="F40" i="51"/>
  <c r="G40" i="51" s="1"/>
  <c r="E29" i="50" s="1"/>
  <c r="O39" i="51"/>
  <c r="K39" i="51"/>
  <c r="F39" i="51"/>
  <c r="G39" i="51" s="1"/>
  <c r="E28" i="50" s="1"/>
  <c r="K38" i="51"/>
  <c r="F38" i="51"/>
  <c r="G38" i="51" s="1"/>
  <c r="E27" i="50" s="1"/>
  <c r="K37" i="51"/>
  <c r="G37" i="51"/>
  <c r="E26" i="50" s="1"/>
  <c r="F37" i="51"/>
  <c r="O36" i="51"/>
  <c r="K36" i="51"/>
  <c r="I25" i="50" s="1"/>
  <c r="G36" i="51"/>
  <c r="E25" i="50" s="1"/>
  <c r="F36" i="51"/>
  <c r="O35" i="51"/>
  <c r="K35" i="51"/>
  <c r="G35" i="51"/>
  <c r="F35" i="51"/>
  <c r="O34" i="51"/>
  <c r="K34" i="51"/>
  <c r="G34" i="51"/>
  <c r="F34" i="51"/>
  <c r="K33" i="51"/>
  <c r="G33" i="51"/>
  <c r="F33" i="51"/>
  <c r="O32" i="51"/>
  <c r="K32" i="51"/>
  <c r="G32" i="51"/>
  <c r="F32" i="51"/>
  <c r="O31" i="51"/>
  <c r="K31" i="51"/>
  <c r="G31" i="51"/>
  <c r="F31" i="51"/>
  <c r="O30" i="51"/>
  <c r="K30" i="51"/>
  <c r="G30" i="51"/>
  <c r="F30" i="51"/>
  <c r="O29" i="51"/>
  <c r="K29" i="51"/>
  <c r="G29" i="51"/>
  <c r="F29" i="51"/>
  <c r="O28" i="51"/>
  <c r="K28" i="51"/>
  <c r="G28" i="51"/>
  <c r="F28" i="51"/>
  <c r="K27" i="51"/>
  <c r="G27" i="51"/>
  <c r="F27" i="51"/>
  <c r="O26" i="51"/>
  <c r="K26" i="51"/>
  <c r="G26" i="51"/>
  <c r="F26" i="51"/>
  <c r="O25" i="51"/>
  <c r="K25" i="51"/>
  <c r="G25" i="51"/>
  <c r="F25" i="51"/>
  <c r="O24" i="51"/>
  <c r="K24" i="51"/>
  <c r="G24" i="51"/>
  <c r="F24" i="51"/>
  <c r="O23" i="51"/>
  <c r="K23" i="51"/>
  <c r="G23" i="51"/>
  <c r="F23" i="51"/>
  <c r="O22" i="51"/>
  <c r="K22" i="51"/>
  <c r="G22" i="51"/>
  <c r="F22" i="51"/>
  <c r="K21" i="51"/>
  <c r="G21" i="51"/>
  <c r="F21" i="51"/>
  <c r="O20" i="51"/>
  <c r="K20" i="51"/>
  <c r="G20" i="51"/>
  <c r="F20" i="51"/>
  <c r="O19" i="51"/>
  <c r="K19" i="51"/>
  <c r="G19" i="51"/>
  <c r="F19" i="51"/>
  <c r="O18" i="51"/>
  <c r="K18" i="51"/>
  <c r="G18" i="51"/>
  <c r="F18" i="51"/>
  <c r="O17" i="51"/>
  <c r="K17" i="51"/>
  <c r="G17" i="51"/>
  <c r="F17" i="51"/>
  <c r="O16" i="51"/>
  <c r="K16" i="51"/>
  <c r="G16" i="51"/>
  <c r="F16" i="51"/>
  <c r="K15" i="51"/>
  <c r="G15" i="51"/>
  <c r="F15" i="51"/>
  <c r="O14" i="51"/>
  <c r="K14" i="51"/>
  <c r="G14" i="51"/>
  <c r="F14" i="51"/>
  <c r="K13" i="51"/>
  <c r="G13" i="51"/>
  <c r="F13" i="51"/>
  <c r="S12" i="51"/>
  <c r="R12" i="51"/>
  <c r="F12" i="51"/>
  <c r="I32" i="50"/>
  <c r="B32" i="50"/>
  <c r="I31" i="50"/>
  <c r="B31" i="50"/>
  <c r="I30" i="50"/>
  <c r="B30" i="50"/>
  <c r="I29" i="50"/>
  <c r="B29" i="50"/>
  <c r="I28" i="50"/>
  <c r="B28" i="50"/>
  <c r="I27" i="50"/>
  <c r="B27" i="50"/>
  <c r="I26" i="50"/>
  <c r="B26" i="50"/>
  <c r="B25" i="50"/>
  <c r="I24" i="50"/>
  <c r="E24" i="50"/>
  <c r="B24" i="50"/>
  <c r="I23" i="50"/>
  <c r="E23" i="50"/>
  <c r="B23" i="50"/>
  <c r="I22" i="50"/>
  <c r="G22" i="50"/>
  <c r="E22" i="50"/>
  <c r="B22" i="50"/>
  <c r="I21" i="50"/>
  <c r="E21" i="50"/>
  <c r="B21" i="50"/>
  <c r="I20" i="50"/>
  <c r="E20" i="50"/>
  <c r="B20" i="50"/>
  <c r="I19" i="50"/>
  <c r="E19" i="50"/>
  <c r="B19" i="50"/>
  <c r="I18" i="50"/>
  <c r="E18" i="50"/>
  <c r="B18" i="50"/>
  <c r="I17" i="50"/>
  <c r="E17" i="50"/>
  <c r="B17" i="50"/>
  <c r="I16" i="50"/>
  <c r="G16" i="50"/>
  <c r="E16" i="50"/>
  <c r="B16" i="50"/>
  <c r="I15" i="50"/>
  <c r="E15" i="50"/>
  <c r="B15" i="50"/>
  <c r="I14" i="50"/>
  <c r="E14" i="50"/>
  <c r="B14" i="50"/>
  <c r="I13" i="50"/>
  <c r="E13" i="50"/>
  <c r="B13" i="50"/>
  <c r="I12" i="50"/>
  <c r="E12" i="50"/>
  <c r="B12" i="50"/>
  <c r="I11" i="50"/>
  <c r="E11" i="50"/>
  <c r="B11" i="50"/>
  <c r="I10" i="50"/>
  <c r="G10" i="50"/>
  <c r="E10" i="50"/>
  <c r="B10" i="50"/>
  <c r="I9" i="50"/>
  <c r="E9" i="50"/>
  <c r="B9" i="50"/>
  <c r="I8" i="50"/>
  <c r="E8" i="50"/>
  <c r="B8" i="50"/>
  <c r="I7" i="50"/>
  <c r="E7" i="50"/>
  <c r="B7" i="50"/>
  <c r="I6" i="50"/>
  <c r="E6" i="50"/>
  <c r="B6" i="50"/>
  <c r="I5" i="50"/>
  <c r="E5" i="50"/>
  <c r="B5" i="50"/>
  <c r="I4" i="50"/>
  <c r="G4" i="50"/>
  <c r="E4" i="50"/>
  <c r="B4" i="50"/>
  <c r="I3" i="50"/>
  <c r="E3" i="50"/>
  <c r="B3" i="50"/>
  <c r="I2" i="50"/>
  <c r="K46" i="51" l="1"/>
  <c r="K47" i="51" s="1"/>
  <c r="G42" i="51"/>
  <c r="E31" i="50" s="1"/>
  <c r="D46" i="51"/>
  <c r="D47" i="51" s="1"/>
  <c r="K48" i="51" l="1"/>
  <c r="K49" i="51" s="1"/>
</calcChain>
</file>

<file path=xl/sharedStrings.xml><?xml version="1.0" encoding="utf-8"?>
<sst xmlns="http://schemas.openxmlformats.org/spreadsheetml/2006/main" count="83" uniqueCount="44">
  <si>
    <t>DATE</t>
  </si>
  <si>
    <t>TOTAL</t>
  </si>
  <si>
    <t>Day</t>
  </si>
  <si>
    <t>Site Name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</si>
  <si>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</si>
  <si>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</si>
  <si>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</si>
  <si>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</si>
  <si>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</si>
  <si>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</si>
  <si>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 xml:space="preserve">Room Nights </t>
  </si>
  <si>
    <t xml:space="preserve">Total Guests </t>
  </si>
  <si>
    <t>Water Utility Supply (m3) m3</t>
  </si>
  <si>
    <t>Water Utility Supply (m3) $/m3</t>
  </si>
  <si>
    <t xml:space="preserve">  ELECTRICITY (KWhr)</t>
  </si>
  <si>
    <t>SUB WATER METER</t>
  </si>
  <si>
    <t>LPG</t>
  </si>
  <si>
    <t>LPG  CONSUMPTION</t>
  </si>
  <si>
    <t>LPG TANK CAPACITY 5000 LTRS</t>
  </si>
  <si>
    <t xml:space="preserve">KITCHEN </t>
  </si>
  <si>
    <t xml:space="preserve">LAUNDRY  </t>
  </si>
  <si>
    <t xml:space="preserve">(MDB 5)  Meter N0 1032486      </t>
  </si>
  <si>
    <t xml:space="preserve">(MDB 6)  Meter N0 1032488      </t>
  </si>
  <si>
    <t xml:space="preserve">(MDB 7)  Meter N0 1032489      </t>
  </si>
  <si>
    <t xml:space="preserve"> LAUNDRY Meter           </t>
  </si>
  <si>
    <t>DAILY CONSUMPTION</t>
  </si>
  <si>
    <t xml:space="preserve">Water Reading </t>
  </si>
  <si>
    <t>CONSUMPTION M3</t>
  </si>
  <si>
    <t xml:space="preserve"> Reading %</t>
  </si>
  <si>
    <t>CONSUMPTION %</t>
  </si>
  <si>
    <t>LPG FILLED %</t>
  </si>
  <si>
    <t>LTRS</t>
  </si>
  <si>
    <t xml:space="preserve"> IN HAND 52% =2600   LTRS FROM LAST MONTH</t>
  </si>
  <si>
    <t>QTR</t>
  </si>
  <si>
    <t>LTR</t>
  </si>
  <si>
    <r>
      <t>Total Consumption</t>
    </r>
    <r>
      <rPr>
        <b/>
        <sz val="10"/>
        <rFont val="Univers"/>
        <family val="2"/>
      </rPr>
      <t xml:space="preserve"> KWHr</t>
    </r>
  </si>
  <si>
    <r>
      <t xml:space="preserve">Total Consumption </t>
    </r>
    <r>
      <rPr>
        <b/>
        <sz val="10"/>
        <rFont val="Univers"/>
        <family val="2"/>
      </rPr>
      <t>M3</t>
    </r>
    <r>
      <rPr>
        <sz val="10"/>
        <rFont val="Univers"/>
        <family val="2"/>
      </rPr>
      <t xml:space="preserve"> </t>
    </r>
  </si>
  <si>
    <r>
      <t xml:space="preserve">Total in hands </t>
    </r>
    <r>
      <rPr>
        <b/>
        <sz val="10"/>
        <rFont val="Univers"/>
        <family val="2"/>
      </rPr>
      <t>LTRS</t>
    </r>
  </si>
  <si>
    <t>Total QTR</t>
  </si>
  <si>
    <r>
      <t xml:space="preserve">Consumption </t>
    </r>
    <r>
      <rPr>
        <b/>
        <sz val="10"/>
        <rFont val="Univers"/>
        <family val="2"/>
      </rPr>
      <t xml:space="preserve">QTR </t>
    </r>
  </si>
  <si>
    <r>
      <t>Consumption</t>
    </r>
    <r>
      <rPr>
        <b/>
        <sz val="10"/>
        <rFont val="Univers"/>
        <family val="2"/>
      </rPr>
      <t xml:space="preserve"> LTRS</t>
    </r>
  </si>
  <si>
    <r>
      <t xml:space="preserve">Sewerage charges </t>
    </r>
    <r>
      <rPr>
        <b/>
        <sz val="10"/>
        <rFont val="Univers"/>
        <family val="2"/>
      </rPr>
      <t>QTR</t>
    </r>
  </si>
  <si>
    <r>
      <t xml:space="preserve">Total filled </t>
    </r>
    <r>
      <rPr>
        <b/>
        <sz val="10"/>
        <rFont val="Univers"/>
        <family val="2"/>
      </rPr>
      <t>LTRS</t>
    </r>
  </si>
  <si>
    <t>Riviera Rayhaan Doha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</si>
</sst>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4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u/>
      <sz val="10"/>
      <color indexed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Univers"/>
      <family val="2"/>
    </font>
    <font>
      <b/>
      <sz val="14"/>
      <name val="Univers"/>
      <family val="2"/>
    </font>
    <font>
      <sz val="18"/>
      <name val="Univers"/>
      <family val="2"/>
    </font>
    <font>
      <b/>
      <sz val="12"/>
      <name val="Cambria"/>
      <family val="1"/>
      <scheme val="major"/>
    </font>
    <font>
      <b/>
      <sz val="12"/>
      <name val="Univers"/>
      <family val="2"/>
    </font>
    <font>
      <sz val="12"/>
      <name val="Univers"/>
      <family val="2"/>
    </font>
    <font>
      <b/>
      <sz val="18"/>
      <name val="Univers"/>
      <family val="2"/>
    </font>
    <font>
      <b/>
      <sz val="11"/>
      <name val="Universe"/>
      <family val="2"/>
    </font>
    <font>
      <b/>
      <sz val="10"/>
      <name val="Univers"/>
      <family val="2"/>
    </font>
    <font>
      <sz val="10"/>
      <name val="Universe"/>
      <family val="2"/>
    </font>
    <font>
      <sz val="11"/>
      <name val="Universe"/>
      <family val="2"/>
    </font>
    <font>
      <sz val="10"/>
      <name val="Arial"/>
      <family val="2"/>
    </font>
    <font>
      <sz val="11"/>
      <name val="Universe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2">
    <xf numFmtId="0" fontId="0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" fillId="0" borderId="0" applyNumberFormat="0" applyFill="0" applyBorder="0">
      <protection locked="0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" fillId="0" borderId="0" applyNumberFormat="0" applyFill="0" applyBorder="0">
      <protection locked="0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" fillId="0" borderId="0" applyNumberFormat="0" applyFill="0" applyBorder="0">
      <protection locked="0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" fillId="0" borderId="0" applyNumberFormat="0" applyFill="0" applyBorder="0">
      <protection locked="0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" fillId="0" borderId="0" applyNumberFormat="0" applyFill="0" applyBorder="0">
      <protection locked="0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" fillId="0" borderId="0" applyNumberFormat="0" applyFill="0" applyBorder="0">
      <protection locked="0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" fillId="0" borderId="0" applyNumberFormat="0" applyFill="0" applyBorder="0">
      <protection locked="0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" fillId="0" borderId="0" applyNumberFormat="0" applyFill="0" applyBorder="0">
      <protection locked="0"/>
    </xf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" fillId="0" borderId="0" applyNumberFormat="0" applyFill="0" applyBorder="0">
      <protection locked="0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" fillId="0" borderId="0" applyNumberFormat="0" applyFill="0" applyBorder="0">
      <protection locked="0"/>
    </xf>
    <xf numFmtId="43" fontId="22" fillId="0" borderId="0" applyFont="0" applyFill="0" applyBorder="0" applyAlignment="0" applyProtection="0"/>
    <xf numFmtId="0" fontId="3" fillId="0" borderId="0" applyNumberFormat="0" applyFill="0" applyBorder="0">
      <protection locked="0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 applyNumberFormat="0" applyFill="0" applyBorder="0">
      <protection locked="0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 applyNumberFormat="0" applyFill="0" applyBorder="0">
      <protection locked="0"/>
    </xf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 applyNumberFormat="0" applyFill="0" applyBorder="0">
      <protection locked="0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 applyNumberFormat="0" applyFill="0" applyBorder="0">
      <protection locked="0"/>
    </xf>
    <xf numFmtId="0" fontId="3" fillId="0" borderId="0" applyNumberFormat="0" applyFill="0" applyBorder="0">
      <protection locked="0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 applyNumberFormat="0" applyFill="0" applyBorder="0">
      <protection locked="0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 applyNumberFormat="0" applyFill="0" applyBorder="0">
      <protection locked="0"/>
    </xf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0" fontId="22" fillId="0" borderId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1" fillId="0" borderId="0"/>
  </cellStyleXfs>
  <cellXfs count="150">
    <xf numFmtId="0" fontId="0" fillId="0" borderId="0" xfId="0"/>
    <xf numFmtId="0" fontId="7" fillId="0" borderId="1" xfId="140" applyFont="1" applyBorder="1" applyAlignment="1">
      <alignment horizontal="center" vertical="center"/>
    </xf>
    <xf numFmtId="0" fontId="7" fillId="0" borderId="1" xfId="140" applyFont="1" applyBorder="1" applyAlignment="1">
      <alignment horizontal="center" vertical="center" wrapText="1"/>
    </xf>
    <xf numFmtId="2" fontId="9" fillId="0" borderId="1" xfId="140" applyNumberFormat="1" applyFont="1" applyBorder="1" applyAlignment="1">
      <alignment horizontal="center" vertical="center" wrapText="1"/>
    </xf>
    <xf numFmtId="0" fontId="9" fillId="0" borderId="1" xfId="140" applyFont="1" applyBorder="1" applyAlignment="1">
      <alignment horizontal="center" vertical="center" wrapText="1"/>
    </xf>
    <xf numFmtId="0" fontId="7" fillId="0" borderId="0" xfId="140" applyFont="1" applyAlignment="1">
      <alignment horizontal="center" vertical="center"/>
    </xf>
    <xf numFmtId="0" fontId="10" fillId="0" borderId="0" xfId="140" applyFont="1" applyAlignment="1">
      <alignment horizontal="center"/>
    </xf>
    <xf numFmtId="0" fontId="7" fillId="0" borderId="0" xfId="140" applyFont="1" applyAlignment="1">
      <alignment horizontal="center"/>
    </xf>
    <xf numFmtId="1" fontId="1" fillId="0" borderId="0" xfId="140" applyNumberFormat="1" applyAlignment="1">
      <alignment horizontal="center"/>
    </xf>
    <xf numFmtId="2" fontId="8" fillId="0" borderId="0" xfId="140" applyNumberFormat="1" applyFont="1" applyAlignment="1">
      <alignment horizontal="center"/>
    </xf>
    <xf numFmtId="0" fontId="1" fillId="0" borderId="0" xfId="140" applyAlignment="1">
      <alignment horizontal="center"/>
    </xf>
    <xf numFmtId="0" fontId="7" fillId="0" borderId="0" xfId="140" applyFont="1"/>
    <xf numFmtId="0" fontId="8" fillId="0" borderId="0" xfId="140" applyFont="1" applyAlignment="1">
      <alignment horizontal="center"/>
    </xf>
    <xf numFmtId="0" fontId="1" fillId="0" borderId="0" xfId="140"/>
    <xf numFmtId="0" fontId="11" fillId="0" borderId="0" xfId="141"/>
    <xf numFmtId="0" fontId="12" fillId="0" borderId="0" xfId="141" applyFont="1" applyAlignment="1">
      <alignment horizontal="center"/>
    </xf>
    <xf numFmtId="0" fontId="13" fillId="2" borderId="4" xfId="141" applyFont="1" applyFill="1" applyBorder="1" applyAlignment="1">
      <alignment horizontal="center"/>
    </xf>
    <xf numFmtId="0" fontId="13" fillId="3" borderId="0" xfId="141" applyFont="1" applyFill="1" applyAlignment="1">
      <alignment horizontal="center"/>
    </xf>
    <xf numFmtId="0" fontId="14" fillId="3" borderId="0" xfId="141" applyFont="1" applyFill="1" applyAlignment="1">
      <alignment horizontal="center"/>
    </xf>
    <xf numFmtId="0" fontId="15" fillId="2" borderId="4" xfId="141" applyFont="1" applyFill="1" applyBorder="1" applyAlignment="1">
      <alignment horizontal="center" vertical="center"/>
    </xf>
    <xf numFmtId="0" fontId="16" fillId="0" borderId="0" xfId="141" applyFont="1"/>
    <xf numFmtId="0" fontId="13" fillId="2" borderId="5" xfId="141" applyFont="1" applyFill="1" applyBorder="1"/>
    <xf numFmtId="0" fontId="17" fillId="2" borderId="7" xfId="141" applyFont="1" applyFill="1" applyBorder="1" applyAlignment="1">
      <alignment horizontal="center"/>
    </xf>
    <xf numFmtId="0" fontId="17" fillId="3" borderId="0" xfId="141" applyFont="1" applyFill="1" applyAlignment="1">
      <alignment horizontal="center"/>
    </xf>
    <xf numFmtId="0" fontId="16" fillId="3" borderId="0" xfId="141" applyFont="1" applyFill="1" applyAlignment="1">
      <alignment horizontal="center"/>
    </xf>
    <xf numFmtId="0" fontId="15" fillId="2" borderId="4" xfId="141" applyFont="1" applyFill="1" applyBorder="1" applyAlignment="1">
      <alignment horizontal="right" vertical="center" wrapText="1"/>
    </xf>
    <xf numFmtId="0" fontId="15" fillId="2" borderId="8" xfId="141" applyFont="1" applyFill="1" applyBorder="1" applyAlignment="1">
      <alignment horizontal="center"/>
    </xf>
    <xf numFmtId="0" fontId="4" fillId="0" borderId="8" xfId="141" applyFont="1" applyBorder="1" applyAlignment="1">
      <alignment horizontal="center"/>
    </xf>
    <xf numFmtId="0" fontId="4" fillId="0" borderId="8" xfId="141" applyFont="1" applyBorder="1" applyAlignment="1">
      <alignment horizontal="center" vertical="center" wrapText="1"/>
    </xf>
    <xf numFmtId="0" fontId="4" fillId="0" borderId="8" xfId="141" applyFont="1" applyBorder="1" applyAlignment="1">
      <alignment horizontal="center" wrapText="1"/>
    </xf>
    <xf numFmtId="0" fontId="4" fillId="0" borderId="0" xfId="141" applyFont="1" applyAlignment="1">
      <alignment horizontal="center" vertical="center"/>
    </xf>
    <xf numFmtId="0" fontId="14" fillId="0" borderId="8" xfId="141" applyFont="1" applyBorder="1" applyAlignment="1">
      <alignment horizontal="center"/>
    </xf>
    <xf numFmtId="0" fontId="14" fillId="0" borderId="8" xfId="141" applyFont="1" applyBorder="1" applyAlignment="1">
      <alignment horizontal="center" wrapText="1"/>
    </xf>
    <xf numFmtId="0" fontId="14" fillId="0" borderId="9" xfId="141" applyFont="1" applyBorder="1" applyAlignment="1">
      <alignment horizontal="center" wrapText="1"/>
    </xf>
    <xf numFmtId="0" fontId="14" fillId="0" borderId="0" xfId="141" applyFont="1" applyAlignment="1">
      <alignment horizontal="center" vertical="center" wrapText="1"/>
    </xf>
    <xf numFmtId="0" fontId="15" fillId="0" borderId="8" xfId="141" applyFont="1" applyBorder="1" applyAlignment="1">
      <alignment horizontal="center" wrapText="1"/>
    </xf>
    <xf numFmtId="0" fontId="15" fillId="0" borderId="0" xfId="141" applyFont="1"/>
    <xf numFmtId="0" fontId="16" fillId="0" borderId="8" xfId="141" applyFont="1" applyBorder="1" applyAlignment="1">
      <alignment horizontal="center" vertical="center"/>
    </xf>
    <xf numFmtId="0" fontId="15" fillId="0" borderId="0" xfId="141" applyFont="1" applyAlignment="1">
      <alignment vertical="center"/>
    </xf>
    <xf numFmtId="0" fontId="4" fillId="0" borderId="10" xfId="141" applyFont="1" applyBorder="1" applyAlignment="1">
      <alignment horizontal="center"/>
    </xf>
    <xf numFmtId="1" fontId="18" fillId="3" borderId="11" xfId="141" applyNumberFormat="1" applyFont="1" applyFill="1" applyBorder="1" applyAlignment="1">
      <alignment horizontal="center" vertical="center" wrapText="1"/>
    </xf>
    <xf numFmtId="1" fontId="18" fillId="3" borderId="11" xfId="141" applyNumberFormat="1" applyFont="1" applyFill="1" applyBorder="1" applyAlignment="1">
      <alignment horizontal="center" vertical="center"/>
    </xf>
    <xf numFmtId="0" fontId="5" fillId="0" borderId="12" xfId="141" applyFont="1" applyBorder="1" applyAlignment="1">
      <alignment horizontal="center"/>
    </xf>
    <xf numFmtId="0" fontId="14" fillId="0" borderId="13" xfId="141" applyFont="1" applyBorder="1" applyAlignment="1">
      <alignment horizontal="center"/>
    </xf>
    <xf numFmtId="1" fontId="19" fillId="3" borderId="11" xfId="141" applyNumberFormat="1" applyFont="1" applyFill="1" applyBorder="1" applyAlignment="1">
      <alignment horizontal="center"/>
    </xf>
    <xf numFmtId="1" fontId="14" fillId="0" borderId="14" xfId="141" applyNumberFormat="1" applyFont="1" applyBorder="1" applyAlignment="1">
      <alignment horizontal="center" wrapText="1"/>
    </xf>
    <xf numFmtId="0" fontId="15" fillId="0" borderId="8" xfId="141" applyFont="1" applyBorder="1" applyAlignment="1">
      <alignment horizontal="center" vertical="center"/>
    </xf>
    <xf numFmtId="0" fontId="15" fillId="0" borderId="4" xfId="141" applyFont="1" applyBorder="1" applyAlignment="1">
      <alignment horizontal="center"/>
    </xf>
    <xf numFmtId="0" fontId="20" fillId="0" borderId="15" xfId="141" applyFont="1" applyBorder="1" applyAlignment="1">
      <alignment horizontal="center" vertical="center"/>
    </xf>
    <xf numFmtId="0" fontId="21" fillId="0" borderId="16" xfId="141" applyFont="1" applyBorder="1" applyAlignment="1">
      <alignment horizontal="center" vertical="center" wrapText="1"/>
    </xf>
    <xf numFmtId="1" fontId="18" fillId="3" borderId="16" xfId="141" applyNumberFormat="1" applyFont="1" applyFill="1" applyBorder="1" applyAlignment="1">
      <alignment horizontal="center" vertical="center"/>
    </xf>
    <xf numFmtId="1" fontId="5" fillId="0" borderId="17" xfId="141" applyNumberFormat="1" applyFont="1" applyBorder="1" applyAlignment="1">
      <alignment horizontal="center"/>
    </xf>
    <xf numFmtId="1" fontId="21" fillId="0" borderId="0" xfId="141" applyNumberFormat="1" applyFont="1" applyAlignment="1">
      <alignment horizontal="center" vertical="center"/>
    </xf>
    <xf numFmtId="1" fontId="11" fillId="0" borderId="16" xfId="141" applyNumberFormat="1" applyBorder="1" applyAlignment="1">
      <alignment horizontal="center"/>
    </xf>
    <xf numFmtId="1" fontId="11" fillId="0" borderId="17" xfId="141" applyNumberFormat="1" applyBorder="1" applyAlignment="1">
      <alignment horizontal="center"/>
    </xf>
    <xf numFmtId="1" fontId="11" fillId="0" borderId="0" xfId="141" applyNumberFormat="1" applyAlignment="1">
      <alignment horizontal="center"/>
    </xf>
    <xf numFmtId="0" fontId="11" fillId="0" borderId="15" xfId="141" applyBorder="1" applyAlignment="1">
      <alignment horizontal="center"/>
    </xf>
    <xf numFmtId="0" fontId="19" fillId="0" borderId="17" xfId="141" applyFont="1" applyBorder="1" applyAlignment="1">
      <alignment horizontal="center"/>
    </xf>
    <xf numFmtId="0" fontId="20" fillId="3" borderId="18" xfId="141" applyFont="1" applyFill="1" applyBorder="1" applyAlignment="1">
      <alignment horizontal="center" vertical="center"/>
    </xf>
    <xf numFmtId="0" fontId="21" fillId="3" borderId="19" xfId="141" applyFont="1" applyFill="1" applyBorder="1" applyAlignment="1">
      <alignment horizontal="center" vertical="center" wrapText="1"/>
    </xf>
    <xf numFmtId="1" fontId="18" fillId="3" borderId="19" xfId="141" applyNumberFormat="1" applyFont="1" applyFill="1" applyBorder="1" applyAlignment="1">
      <alignment horizontal="center" vertical="center"/>
    </xf>
    <xf numFmtId="1" fontId="5" fillId="0" borderId="20" xfId="141" applyNumberFormat="1" applyFont="1" applyBorder="1" applyAlignment="1">
      <alignment horizontal="center"/>
    </xf>
    <xf numFmtId="1" fontId="11" fillId="0" borderId="19" xfId="141" applyNumberFormat="1" applyBorder="1" applyAlignment="1">
      <alignment horizontal="center"/>
    </xf>
    <xf numFmtId="1" fontId="11" fillId="0" borderId="20" xfId="141" applyNumberFormat="1" applyBorder="1" applyAlignment="1">
      <alignment horizontal="center"/>
    </xf>
    <xf numFmtId="0" fontId="11" fillId="0" borderId="18" xfId="141" applyBorder="1" applyAlignment="1">
      <alignment horizontal="center"/>
    </xf>
    <xf numFmtId="0" fontId="19" fillId="0" borderId="20" xfId="141" applyFont="1" applyBorder="1" applyAlignment="1">
      <alignment horizontal="center"/>
    </xf>
    <xf numFmtId="0" fontId="19" fillId="0" borderId="0" xfId="141" applyFont="1"/>
    <xf numFmtId="1" fontId="19" fillId="0" borderId="0" xfId="141" applyNumberFormat="1" applyFont="1"/>
    <xf numFmtId="0" fontId="20" fillId="0" borderId="18" xfId="141" applyFont="1" applyBorder="1" applyAlignment="1">
      <alignment horizontal="center" vertical="center"/>
    </xf>
    <xf numFmtId="0" fontId="21" fillId="0" borderId="19" xfId="141" applyFont="1" applyBorder="1" applyAlignment="1">
      <alignment horizontal="center" vertical="center" wrapText="1"/>
    </xf>
    <xf numFmtId="9" fontId="11" fillId="0" borderId="0" xfId="141" applyNumberFormat="1"/>
    <xf numFmtId="0" fontId="11" fillId="3" borderId="0" xfId="141" applyFill="1"/>
    <xf numFmtId="1" fontId="11" fillId="0" borderId="0" xfId="141" applyNumberFormat="1"/>
    <xf numFmtId="1" fontId="19" fillId="0" borderId="20" xfId="141" applyNumberFormat="1" applyFont="1" applyBorder="1" applyAlignment="1">
      <alignment horizontal="center"/>
    </xf>
    <xf numFmtId="0" fontId="19" fillId="3" borderId="0" xfId="141" applyFont="1" applyFill="1"/>
    <xf numFmtId="1" fontId="21" fillId="0" borderId="19" xfId="141" applyNumberFormat="1" applyFont="1" applyBorder="1" applyAlignment="1">
      <alignment horizontal="center" vertical="center" wrapText="1"/>
    </xf>
    <xf numFmtId="1" fontId="6" fillId="0" borderId="19" xfId="141" applyNumberFormat="1" applyFont="1" applyBorder="1" applyAlignment="1">
      <alignment horizontal="center"/>
    </xf>
    <xf numFmtId="1" fontId="18" fillId="0" borderId="19" xfId="141" applyNumberFormat="1" applyFont="1" applyBorder="1" applyAlignment="1">
      <alignment horizontal="center" vertical="center"/>
    </xf>
    <xf numFmtId="1" fontId="5" fillId="3" borderId="20" xfId="141" applyNumberFormat="1" applyFont="1" applyFill="1" applyBorder="1" applyAlignment="1">
      <alignment horizontal="center"/>
    </xf>
    <xf numFmtId="1" fontId="21" fillId="3" borderId="0" xfId="141" applyNumberFormat="1" applyFont="1" applyFill="1" applyAlignment="1">
      <alignment horizontal="center" vertical="center"/>
    </xf>
    <xf numFmtId="1" fontId="11" fillId="3" borderId="19" xfId="141" applyNumberFormat="1" applyFill="1" applyBorder="1" applyAlignment="1">
      <alignment horizontal="center"/>
    </xf>
    <xf numFmtId="1" fontId="11" fillId="3" borderId="0" xfId="141" applyNumberFormat="1" applyFill="1" applyAlignment="1">
      <alignment horizontal="center"/>
    </xf>
    <xf numFmtId="0" fontId="11" fillId="3" borderId="18" xfId="141" applyFill="1" applyBorder="1" applyAlignment="1">
      <alignment horizontal="center"/>
    </xf>
    <xf numFmtId="0" fontId="19" fillId="3" borderId="20" xfId="141" applyFont="1" applyFill="1" applyBorder="1" applyAlignment="1">
      <alignment horizontal="center"/>
    </xf>
    <xf numFmtId="0" fontId="20" fillId="0" borderId="21" xfId="141" applyFont="1" applyBorder="1" applyAlignment="1">
      <alignment horizontal="center" vertical="center"/>
    </xf>
    <xf numFmtId="1" fontId="21" fillId="0" borderId="22" xfId="141" applyNumberFormat="1" applyFont="1" applyBorder="1" applyAlignment="1">
      <alignment horizontal="center" vertical="center" wrapText="1"/>
    </xf>
    <xf numFmtId="1" fontId="18" fillId="0" borderId="22" xfId="141" applyNumberFormat="1" applyFont="1" applyBorder="1" applyAlignment="1">
      <alignment horizontal="center" vertical="center"/>
    </xf>
    <xf numFmtId="1" fontId="5" fillId="3" borderId="23" xfId="141" applyNumberFormat="1" applyFont="1" applyFill="1" applyBorder="1" applyAlignment="1">
      <alignment horizontal="center"/>
    </xf>
    <xf numFmtId="1" fontId="11" fillId="0" borderId="22" xfId="141" applyNumberFormat="1" applyBorder="1" applyAlignment="1">
      <alignment horizontal="center"/>
    </xf>
    <xf numFmtId="1" fontId="11" fillId="0" borderId="23" xfId="141" applyNumberFormat="1" applyBorder="1" applyAlignment="1">
      <alignment horizontal="center"/>
    </xf>
    <xf numFmtId="0" fontId="11" fillId="0" borderId="21" xfId="141" applyBorder="1" applyAlignment="1">
      <alignment horizontal="center"/>
    </xf>
    <xf numFmtId="1" fontId="11" fillId="3" borderId="22" xfId="141" applyNumberFormat="1" applyFill="1" applyBorder="1" applyAlignment="1">
      <alignment horizontal="center"/>
    </xf>
    <xf numFmtId="0" fontId="19" fillId="0" borderId="23" xfId="141" applyFont="1" applyBorder="1" applyAlignment="1">
      <alignment horizontal="center" vertical="top"/>
    </xf>
    <xf numFmtId="0" fontId="20" fillId="0" borderId="0" xfId="141" applyFont="1" applyAlignment="1">
      <alignment horizontal="center" vertical="center"/>
    </xf>
    <xf numFmtId="1" fontId="21" fillId="0" borderId="0" xfId="141" applyNumberFormat="1" applyFont="1" applyAlignment="1">
      <alignment horizontal="center" vertical="center" wrapText="1"/>
    </xf>
    <xf numFmtId="1" fontId="18" fillId="0" borderId="0" xfId="141" applyNumberFormat="1" applyFont="1" applyAlignment="1">
      <alignment horizontal="center" vertical="center"/>
    </xf>
    <xf numFmtId="1" fontId="5" fillId="3" borderId="0" xfId="141" applyNumberFormat="1" applyFont="1" applyFill="1" applyAlignment="1">
      <alignment horizontal="center"/>
    </xf>
    <xf numFmtId="0" fontId="11" fillId="0" borderId="0" xfId="141" applyAlignment="1">
      <alignment horizontal="center"/>
    </xf>
    <xf numFmtId="1" fontId="19" fillId="3" borderId="0" xfId="141" applyNumberFormat="1" applyFont="1" applyFill="1" applyAlignment="1">
      <alignment horizontal="center"/>
    </xf>
    <xf numFmtId="0" fontId="19" fillId="0" borderId="0" xfId="141" applyFont="1" applyAlignment="1">
      <alignment horizontal="center" vertical="top"/>
    </xf>
    <xf numFmtId="1" fontId="19" fillId="0" borderId="0" xfId="141" applyNumberFormat="1" applyFont="1" applyAlignment="1">
      <alignment horizontal="center"/>
    </xf>
    <xf numFmtId="1" fontId="11" fillId="0" borderId="12" xfId="141" applyNumberFormat="1" applyBorder="1" applyAlignment="1">
      <alignment horizontal="left"/>
    </xf>
    <xf numFmtId="0" fontId="11" fillId="0" borderId="15" xfId="141" applyBorder="1"/>
    <xf numFmtId="0" fontId="11" fillId="0" borderId="16" xfId="141" applyBorder="1"/>
    <xf numFmtId="1" fontId="11" fillId="0" borderId="17" xfId="141" applyNumberFormat="1" applyBorder="1" applyAlignment="1">
      <alignment horizontal="left"/>
    </xf>
    <xf numFmtId="0" fontId="11" fillId="0" borderId="16" xfId="141" applyBorder="1" applyAlignment="1">
      <alignment horizontal="left"/>
    </xf>
    <xf numFmtId="0" fontId="11" fillId="0" borderId="16" xfId="141" applyBorder="1" applyAlignment="1">
      <alignment horizontal="right"/>
    </xf>
    <xf numFmtId="0" fontId="19" fillId="0" borderId="17" xfId="141" applyFont="1" applyBorder="1"/>
    <xf numFmtId="0" fontId="19" fillId="0" borderId="26" xfId="141" applyFont="1" applyBorder="1" applyAlignment="1">
      <alignment horizontal="left"/>
    </xf>
    <xf numFmtId="0" fontId="11" fillId="0" borderId="18" xfId="141" applyBorder="1"/>
    <xf numFmtId="0" fontId="11" fillId="0" borderId="19" xfId="141" applyBorder="1"/>
    <xf numFmtId="0" fontId="11" fillId="0" borderId="20" xfId="141" applyBorder="1" applyAlignment="1">
      <alignment horizontal="left"/>
    </xf>
    <xf numFmtId="0" fontId="11" fillId="0" borderId="19" xfId="141" applyBorder="1" applyAlignment="1">
      <alignment horizontal="left"/>
    </xf>
    <xf numFmtId="0" fontId="11" fillId="0" borderId="19" xfId="141" applyBorder="1" applyAlignment="1">
      <alignment horizontal="right"/>
    </xf>
    <xf numFmtId="0" fontId="19" fillId="0" borderId="20" xfId="141" applyFont="1" applyBorder="1"/>
    <xf numFmtId="0" fontId="11" fillId="0" borderId="27" xfId="141" applyBorder="1"/>
    <xf numFmtId="0" fontId="11" fillId="0" borderId="11" xfId="141" applyBorder="1"/>
    <xf numFmtId="0" fontId="11" fillId="0" borderId="28" xfId="141" applyBorder="1" applyAlignment="1">
      <alignment horizontal="left"/>
    </xf>
    <xf numFmtId="0" fontId="11" fillId="0" borderId="21" xfId="141" applyBorder="1"/>
    <xf numFmtId="0" fontId="11" fillId="0" borderId="22" xfId="141" applyBorder="1" applyAlignment="1">
      <alignment horizontal="left"/>
    </xf>
    <xf numFmtId="0" fontId="11" fillId="0" borderId="22" xfId="141" applyBorder="1" applyAlignment="1">
      <alignment horizontal="right"/>
    </xf>
    <xf numFmtId="0" fontId="19" fillId="0" borderId="23" xfId="141" applyFont="1" applyBorder="1"/>
    <xf numFmtId="0" fontId="19" fillId="0" borderId="29" xfId="141" applyFont="1" applyBorder="1"/>
    <xf numFmtId="0" fontId="19" fillId="0" borderId="30" xfId="141" applyFont="1" applyBorder="1"/>
    <xf numFmtId="0" fontId="19" fillId="0" borderId="0" xfId="141" applyFont="1" applyAlignment="1">
      <alignment horizontal="center"/>
    </xf>
    <xf numFmtId="1" fontId="23" fillId="0" borderId="19" xfId="0" applyNumberFormat="1" applyFont="1" applyBorder="1" applyAlignment="1">
      <alignment horizontal="center" vertical="center" wrapText="1"/>
    </xf>
    <xf numFmtId="1" fontId="23" fillId="3" borderId="19" xfId="0" applyNumberFormat="1" applyFont="1" applyFill="1" applyBorder="1" applyAlignment="1">
      <alignment horizontal="center" vertical="center" wrapText="1"/>
    </xf>
    <xf numFmtId="1" fontId="0" fillId="0" borderId="19" xfId="0" applyNumberFormat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3" borderId="19" xfId="0" applyNumberFormat="1" applyFill="1" applyBorder="1" applyAlignment="1">
      <alignment horizontal="center"/>
    </xf>
    <xf numFmtId="0" fontId="15" fillId="2" borderId="2" xfId="141" applyFont="1" applyFill="1" applyBorder="1" applyAlignment="1">
      <alignment horizontal="center"/>
    </xf>
    <xf numFmtId="0" fontId="15" fillId="2" borderId="4" xfId="141" applyFont="1" applyFill="1" applyBorder="1" applyAlignment="1">
      <alignment horizontal="center"/>
    </xf>
    <xf numFmtId="0" fontId="17" fillId="2" borderId="6" xfId="141" applyFont="1" applyFill="1" applyBorder="1" applyAlignment="1">
      <alignment horizontal="center"/>
    </xf>
    <xf numFmtId="0" fontId="15" fillId="2" borderId="3" xfId="141" applyFont="1" applyFill="1" applyBorder="1" applyAlignment="1">
      <alignment horizontal="center"/>
    </xf>
    <xf numFmtId="0" fontId="15" fillId="2" borderId="2" xfId="141" applyFont="1" applyFill="1" applyBorder="1" applyAlignment="1">
      <alignment horizontal="right" vertical="center" wrapText="1"/>
    </xf>
    <xf numFmtId="0" fontId="15" fillId="2" borderId="3" xfId="141" applyFont="1" applyFill="1" applyBorder="1" applyAlignment="1">
      <alignment horizontal="right" vertical="center" wrapText="1"/>
    </xf>
    <xf numFmtId="0" fontId="14" fillId="0" borderId="2" xfId="141" applyFont="1" applyBorder="1" applyAlignment="1">
      <alignment horizontal="center" wrapText="1"/>
    </xf>
    <xf numFmtId="0" fontId="14" fillId="0" borderId="3" xfId="141" applyFont="1" applyBorder="1" applyAlignment="1">
      <alignment horizontal="center" wrapText="1"/>
    </xf>
    <xf numFmtId="0" fontId="14" fillId="0" borderId="4" xfId="141" applyFont="1" applyBorder="1" applyAlignment="1">
      <alignment horizontal="center" wrapText="1"/>
    </xf>
    <xf numFmtId="0" fontId="11" fillId="0" borderId="13" xfId="141" applyBorder="1" applyAlignment="1">
      <alignment horizontal="center"/>
    </xf>
    <xf numFmtId="0" fontId="11" fillId="0" borderId="24" xfId="141" applyBorder="1" applyAlignment="1">
      <alignment horizontal="center"/>
    </xf>
    <xf numFmtId="0" fontId="19" fillId="0" borderId="2" xfId="141" applyFont="1" applyBorder="1" applyAlignment="1">
      <alignment horizontal="left"/>
    </xf>
    <xf numFmtId="0" fontId="19" fillId="0" borderId="25" xfId="141" applyFont="1" applyBorder="1" applyAlignment="1">
      <alignment horizontal="left"/>
    </xf>
    <xf numFmtId="0" fontId="13" fillId="2" borderId="2" xfId="141" applyFont="1" applyFill="1" applyBorder="1" applyAlignment="1">
      <alignment horizontal="center"/>
    </xf>
    <xf numFmtId="0" fontId="13" fillId="2" borderId="3" xfId="141" applyFont="1" applyFill="1" applyBorder="1" applyAlignment="1">
      <alignment horizontal="center"/>
    </xf>
    <xf numFmtId="0" fontId="14" fillId="2" borderId="2" xfId="141" applyFont="1" applyFill="1" applyBorder="1" applyAlignment="1">
      <alignment horizontal="center"/>
    </xf>
    <xf numFmtId="0" fontId="14" fillId="2" borderId="3" xfId="141" applyFont="1" applyFill="1" applyBorder="1" applyAlignment="1">
      <alignment horizontal="center"/>
    </xf>
    <xf numFmtId="0" fontId="14" fillId="2" borderId="4" xfId="141" applyFont="1" applyFill="1" applyBorder="1" applyAlignment="1">
      <alignment horizontal="center"/>
    </xf>
    <xf numFmtId="0" fontId="14" fillId="2" borderId="2" xfId="141" applyFont="1" applyFill="1" applyBorder="1" applyAlignment="1">
      <alignment horizontal="center" vertical="center"/>
    </xf>
    <xf numFmtId="0" fontId="14" fillId="2" borderId="3" xfId="141" applyFont="1" applyFill="1" applyBorder="1" applyAlignment="1">
      <alignment horizontal="center" vertical="center"/>
    </xf>
  </cellXfs>
  <cellStyles count="142">
    <cellStyle name="Comma 2" xfId="1" xr:uid="{00000000-0005-0000-0000-000006000000}"/>
    <cellStyle name="Comma 2 10" xfId="66" xr:uid="{00000000-0005-0000-0000-000047000000}"/>
    <cellStyle name="Comma 2 11" xfId="105" xr:uid="{00000000-0005-0000-0000-00006E000000}"/>
    <cellStyle name="Comma 2 12" xfId="91" xr:uid="{00000000-0005-0000-0000-000060000000}"/>
    <cellStyle name="Comma 2 13" xfId="101" xr:uid="{00000000-0005-0000-0000-00006A000000}"/>
    <cellStyle name="Comma 2 14" xfId="76" xr:uid="{00000000-0005-0000-0000-000051000000}"/>
    <cellStyle name="Comma 2 15" xfId="90" xr:uid="{00000000-0005-0000-0000-00005F000000}"/>
    <cellStyle name="Comma 2 16" xfId="93" xr:uid="{00000000-0005-0000-0000-000062000000}"/>
    <cellStyle name="Comma 2 17" xfId="88" xr:uid="{00000000-0005-0000-0000-00005D000000}"/>
    <cellStyle name="Comma 2 18" xfId="104" xr:uid="{00000000-0005-0000-0000-00006D000000}"/>
    <cellStyle name="Comma 2 2" xfId="10" xr:uid="{00000000-0005-0000-0000-00000F000000}"/>
    <cellStyle name="Comma 2 3" xfId="13" xr:uid="{00000000-0005-0000-0000-000012000000}"/>
    <cellStyle name="Comma 2 4" xfId="20" xr:uid="{00000000-0005-0000-0000-000019000000}"/>
    <cellStyle name="Comma 2 5" xfId="27" xr:uid="{00000000-0005-0000-0000-000020000000}"/>
    <cellStyle name="Comma 2 6" xfId="34" xr:uid="{00000000-0005-0000-0000-000027000000}"/>
    <cellStyle name="Comma 2 7" xfId="41" xr:uid="{00000000-0005-0000-0000-00002E000000}"/>
    <cellStyle name="Comma 2 8" xfId="48" xr:uid="{00000000-0005-0000-0000-000035000000}"/>
    <cellStyle name="Comma 2 9" xfId="54" xr:uid="{00000000-0005-0000-0000-00003B000000}"/>
    <cellStyle name="Comma 3" xfId="2" xr:uid="{00000000-0005-0000-0000-000007000000}"/>
    <cellStyle name="Comma 3 10" xfId="67" xr:uid="{00000000-0005-0000-0000-000048000000}"/>
    <cellStyle name="Comma 3 11" xfId="99" xr:uid="{00000000-0005-0000-0000-000068000000}"/>
    <cellStyle name="Comma 3 12" xfId="74" xr:uid="{00000000-0005-0000-0000-00004F000000}"/>
    <cellStyle name="Comma 3 13" xfId="103" xr:uid="{00000000-0005-0000-0000-00006C000000}"/>
    <cellStyle name="Comma 3 14" xfId="102" xr:uid="{00000000-0005-0000-0000-00006B000000}"/>
    <cellStyle name="Comma 3 15" xfId="107" xr:uid="{00000000-0005-0000-0000-000070000000}"/>
    <cellStyle name="Comma 3 16" xfId="78" xr:uid="{00000000-0005-0000-0000-000053000000}"/>
    <cellStyle name="Comma 3 17" xfId="79" xr:uid="{00000000-0005-0000-0000-000054000000}"/>
    <cellStyle name="Comma 3 18" xfId="64" xr:uid="{00000000-0005-0000-0000-000045000000}"/>
    <cellStyle name="Comma 3 2" xfId="11" xr:uid="{00000000-0005-0000-0000-000010000000}"/>
    <cellStyle name="Comma 3 3" xfId="9" xr:uid="{00000000-0005-0000-0000-00000E000000}"/>
    <cellStyle name="Comma 3 4" xfId="8" xr:uid="{00000000-0005-0000-0000-00000D000000}"/>
    <cellStyle name="Comma 3 5" xfId="15" xr:uid="{00000000-0005-0000-0000-000014000000}"/>
    <cellStyle name="Comma 3 6" xfId="22" xr:uid="{00000000-0005-0000-0000-00001B000000}"/>
    <cellStyle name="Comma 3 7" xfId="29" xr:uid="{00000000-0005-0000-0000-000022000000}"/>
    <cellStyle name="Comma 3 8" xfId="36" xr:uid="{00000000-0005-0000-0000-000029000000}"/>
    <cellStyle name="Comma 3 9" xfId="43" xr:uid="{00000000-0005-0000-0000-000030000000}"/>
    <cellStyle name="Comma 4" xfId="3" xr:uid="{00000000-0005-0000-0000-000008000000}"/>
    <cellStyle name="Comma 4 10" xfId="68" xr:uid="{00000000-0005-0000-0000-000049000000}"/>
    <cellStyle name="Comma 4 11" xfId="94" xr:uid="{00000000-0005-0000-0000-000063000000}"/>
    <cellStyle name="Comma 4 12" xfId="83" xr:uid="{00000000-0005-0000-0000-000058000000}"/>
    <cellStyle name="Comma 4 13" xfId="95" xr:uid="{00000000-0005-0000-0000-000064000000}"/>
    <cellStyle name="Comma 4 14" xfId="77" xr:uid="{00000000-0005-0000-0000-000052000000}"/>
    <cellStyle name="Comma 4 15" xfId="84" xr:uid="{00000000-0005-0000-0000-000059000000}"/>
    <cellStyle name="Comma 4 16" xfId="87" xr:uid="{00000000-0005-0000-0000-00005C000000}"/>
    <cellStyle name="Comma 4 17" xfId="109" xr:uid="{00000000-0005-0000-0000-000072000000}"/>
    <cellStyle name="Comma 4 18" xfId="65" xr:uid="{00000000-0005-0000-0000-000046000000}"/>
    <cellStyle name="Comma 4 2" xfId="12" xr:uid="{00000000-0005-0000-0000-000011000000}"/>
    <cellStyle name="Comma 4 3" xfId="19" xr:uid="{00000000-0005-0000-0000-000018000000}"/>
    <cellStyle name="Comma 4 4" xfId="26" xr:uid="{00000000-0005-0000-0000-00001F000000}"/>
    <cellStyle name="Comma 4 5" xfId="33" xr:uid="{00000000-0005-0000-0000-000026000000}"/>
    <cellStyle name="Comma 4 6" xfId="40" xr:uid="{00000000-0005-0000-0000-00002D000000}"/>
    <cellStyle name="Comma 4 7" xfId="47" xr:uid="{00000000-0005-0000-0000-000034000000}"/>
    <cellStyle name="Comma 4 8" xfId="53" xr:uid="{00000000-0005-0000-0000-00003A000000}"/>
    <cellStyle name="Comma 4 9" xfId="59" xr:uid="{00000000-0005-0000-0000-000040000000}"/>
    <cellStyle name="Comma 5" xfId="5" xr:uid="{00000000-0005-0000-0000-00000A000000}"/>
    <cellStyle name="Comma 5 10" xfId="71" xr:uid="{00000000-0005-0000-0000-00004C000000}"/>
    <cellStyle name="Comma 5 11" xfId="70" xr:uid="{00000000-0005-0000-0000-00004B000000}"/>
    <cellStyle name="Comma 5 12" xfId="81" xr:uid="{00000000-0005-0000-0000-000056000000}"/>
    <cellStyle name="Comma 5 13" xfId="106" xr:uid="{00000000-0005-0000-0000-00006F000000}"/>
    <cellStyle name="Comma 5 14" xfId="89" xr:uid="{00000000-0005-0000-0000-00005E000000}"/>
    <cellStyle name="Comma 5 15" xfId="98" xr:uid="{00000000-0005-0000-0000-000067000000}"/>
    <cellStyle name="Comma 5 16" xfId="80" xr:uid="{00000000-0005-0000-0000-000055000000}"/>
    <cellStyle name="Comma 5 17" xfId="112" xr:uid="{00000000-0005-0000-0000-000075000000}"/>
    <cellStyle name="Comma 5 18" xfId="115" xr:uid="{00000000-0005-0000-0000-000078000000}"/>
    <cellStyle name="Comma 5 2" xfId="16" xr:uid="{00000000-0005-0000-0000-000015000000}"/>
    <cellStyle name="Comma 5 3" xfId="23" xr:uid="{00000000-0005-0000-0000-00001C000000}"/>
    <cellStyle name="Comma 5 4" xfId="30" xr:uid="{00000000-0005-0000-0000-000023000000}"/>
    <cellStyle name="Comma 5 5" xfId="37" xr:uid="{00000000-0005-0000-0000-00002A000000}"/>
    <cellStyle name="Comma 5 6" xfId="44" xr:uid="{00000000-0005-0000-0000-000031000000}"/>
    <cellStyle name="Comma 5 7" xfId="50" xr:uid="{00000000-0005-0000-0000-000037000000}"/>
    <cellStyle name="Comma 5 8" xfId="56" xr:uid="{00000000-0005-0000-0000-00003D000000}"/>
    <cellStyle name="Comma 5 9" xfId="61" xr:uid="{00000000-0005-0000-0000-000042000000}"/>
    <cellStyle name="Comma 6" xfId="128" xr:uid="{00000000-0005-0000-0000-000085000000}"/>
    <cellStyle name="Comma 6 2" xfId="134" xr:uid="{00000000-0005-0000-0000-00008B000000}"/>
    <cellStyle name="Comma 6 2 2" xfId="139" xr:uid="{00000000-0005-0000-0000-000090000000}"/>
    <cellStyle name="Comma 6 3" xfId="131" xr:uid="{00000000-0005-0000-0000-000088000000}"/>
    <cellStyle name="Comma 6 4" xfId="136" xr:uid="{00000000-0005-0000-0000-00008D000000}"/>
    <cellStyle name="Hyperlink 2" xfId="7" xr:uid="{00000000-0005-0000-0000-00000C000000}"/>
    <cellStyle name="Hyperlink 2 10" xfId="73" xr:uid="{00000000-0005-0000-0000-00004E000000}"/>
    <cellStyle name="Hyperlink 2 11" xfId="108" xr:uid="{00000000-0005-0000-0000-000071000000}"/>
    <cellStyle name="Hyperlink 2 12" xfId="75" xr:uid="{00000000-0005-0000-0000-000050000000}"/>
    <cellStyle name="Hyperlink 2 13" xfId="92" xr:uid="{00000000-0005-0000-0000-000061000000}"/>
    <cellStyle name="Hyperlink 2 14" xfId="96" xr:uid="{00000000-0005-0000-0000-000065000000}"/>
    <cellStyle name="Hyperlink 2 15" xfId="97" xr:uid="{00000000-0005-0000-0000-000066000000}"/>
    <cellStyle name="Hyperlink 2 16" xfId="85" xr:uid="{00000000-0005-0000-0000-00005A000000}"/>
    <cellStyle name="Hyperlink 2 17" xfId="82" xr:uid="{00000000-0005-0000-0000-000057000000}"/>
    <cellStyle name="Hyperlink 2 18" xfId="100" xr:uid="{00000000-0005-0000-0000-000069000000}"/>
    <cellStyle name="Hyperlink 2 2" xfId="18" xr:uid="{00000000-0005-0000-0000-000017000000}"/>
    <cellStyle name="Hyperlink 2 3" xfId="25" xr:uid="{00000000-0005-0000-0000-00001E000000}"/>
    <cellStyle name="Hyperlink 2 4" xfId="32" xr:uid="{00000000-0005-0000-0000-000025000000}"/>
    <cellStyle name="Hyperlink 2 5" xfId="39" xr:uid="{00000000-0005-0000-0000-00002C000000}"/>
    <cellStyle name="Hyperlink 2 6" xfId="46" xr:uid="{00000000-0005-0000-0000-000033000000}"/>
    <cellStyle name="Hyperlink 2 7" xfId="52" xr:uid="{00000000-0005-0000-0000-000039000000}"/>
    <cellStyle name="Hyperlink 2 8" xfId="58" xr:uid="{00000000-0005-0000-0000-00003F000000}"/>
    <cellStyle name="Hyperlink 2 9" xfId="63" xr:uid="{00000000-0005-0000-0000-000044000000}"/>
    <cellStyle name="Normal" xfId="0" builtinId="0"/>
    <cellStyle name="Normal 2" xfId="4" xr:uid="{00000000-0005-0000-0000-000009000000}"/>
    <cellStyle name="Normal 2 10" xfId="69" xr:uid="{00000000-0005-0000-0000-00004A000000}"/>
    <cellStyle name="Normal 2 11" xfId="86" xr:uid="{00000000-0005-0000-0000-00005B000000}"/>
    <cellStyle name="Normal 2 12" xfId="111" xr:uid="{00000000-0005-0000-0000-000074000000}"/>
    <cellStyle name="Normal 2 13" xfId="114" xr:uid="{00000000-0005-0000-0000-000077000000}"/>
    <cellStyle name="Normal 2 14" xfId="117" xr:uid="{00000000-0005-0000-0000-00007A000000}"/>
    <cellStyle name="Normal 2 15" xfId="119" xr:uid="{00000000-0005-0000-0000-00007C000000}"/>
    <cellStyle name="Normal 2 16" xfId="121" xr:uid="{00000000-0005-0000-0000-00007E000000}"/>
    <cellStyle name="Normal 2 17" xfId="123" xr:uid="{00000000-0005-0000-0000-000080000000}"/>
    <cellStyle name="Normal 2 18" xfId="125" xr:uid="{00000000-0005-0000-0000-000082000000}"/>
    <cellStyle name="Normal 2 2" xfId="14" xr:uid="{00000000-0005-0000-0000-000013000000}"/>
    <cellStyle name="Normal 2 3" xfId="21" xr:uid="{00000000-0005-0000-0000-00001A000000}"/>
    <cellStyle name="Normal 2 4" xfId="28" xr:uid="{00000000-0005-0000-0000-000021000000}"/>
    <cellStyle name="Normal 2 5" xfId="35" xr:uid="{00000000-0005-0000-0000-000028000000}"/>
    <cellStyle name="Normal 2 6" xfId="42" xr:uid="{00000000-0005-0000-0000-00002F000000}"/>
    <cellStyle name="Normal 2 7" xfId="49" xr:uid="{00000000-0005-0000-0000-000036000000}"/>
    <cellStyle name="Normal 2 8" xfId="55" xr:uid="{00000000-0005-0000-0000-00003C000000}"/>
    <cellStyle name="Normal 2 9" xfId="60" xr:uid="{00000000-0005-0000-0000-000041000000}"/>
    <cellStyle name="Normal 3" xfId="127" xr:uid="{00000000-0005-0000-0000-000084000000}"/>
    <cellStyle name="Normal 3 2" xfId="133" xr:uid="{00000000-0005-0000-0000-00008A000000}"/>
    <cellStyle name="Normal 3 2 2" xfId="138" xr:uid="{00000000-0005-0000-0000-00008F000000}"/>
    <cellStyle name="Normal 3 3" xfId="130" xr:uid="{00000000-0005-0000-0000-000087000000}"/>
    <cellStyle name="Normal 3 3 2" xfId="137" xr:uid="{00000000-0005-0000-0000-00008E000000}"/>
    <cellStyle name="Normal 3 4" xfId="135" xr:uid="{00000000-0005-0000-0000-00008C000000}"/>
    <cellStyle name="Normal 4" xfId="129" xr:uid="{00000000-0005-0000-0000-000086000000}"/>
    <cellStyle name="Normal 5" xfId="140" xr:uid="{00000000-0005-0000-0000-000091000000}"/>
    <cellStyle name="Normal 6" xfId="141" xr:uid="{00000000-0005-0000-0000-000092000000}"/>
    <cellStyle name="Percent 2" xfId="6" xr:uid="{00000000-0005-0000-0000-00000B000000}"/>
    <cellStyle name="Percent 2 10" xfId="72" xr:uid="{00000000-0005-0000-0000-00004D000000}"/>
    <cellStyle name="Percent 2 11" xfId="110" xr:uid="{00000000-0005-0000-0000-000073000000}"/>
    <cellStyle name="Percent 2 12" xfId="113" xr:uid="{00000000-0005-0000-0000-000076000000}"/>
    <cellStyle name="Percent 2 13" xfId="116" xr:uid="{00000000-0005-0000-0000-000079000000}"/>
    <cellStyle name="Percent 2 14" xfId="118" xr:uid="{00000000-0005-0000-0000-00007B000000}"/>
    <cellStyle name="Percent 2 15" xfId="120" xr:uid="{00000000-0005-0000-0000-00007D000000}"/>
    <cellStyle name="Percent 2 16" xfId="122" xr:uid="{00000000-0005-0000-0000-00007F000000}"/>
    <cellStyle name="Percent 2 17" xfId="124" xr:uid="{00000000-0005-0000-0000-000081000000}"/>
    <cellStyle name="Percent 2 18" xfId="126" xr:uid="{00000000-0005-0000-0000-000083000000}"/>
    <cellStyle name="Percent 2 2" xfId="17" xr:uid="{00000000-0005-0000-0000-000016000000}"/>
    <cellStyle name="Percent 2 3" xfId="24" xr:uid="{00000000-0005-0000-0000-00001D000000}"/>
    <cellStyle name="Percent 2 4" xfId="31" xr:uid="{00000000-0005-0000-0000-000024000000}"/>
    <cellStyle name="Percent 2 5" xfId="38" xr:uid="{00000000-0005-0000-0000-00002B000000}"/>
    <cellStyle name="Percent 2 6" xfId="45" xr:uid="{00000000-0005-0000-0000-000032000000}"/>
    <cellStyle name="Percent 2 7" xfId="51" xr:uid="{00000000-0005-0000-0000-000038000000}"/>
    <cellStyle name="Percent 2 8" xfId="57" xr:uid="{00000000-0005-0000-0000-00003E000000}"/>
    <cellStyle name="Percent 2 9" xfId="62" xr:uid="{00000000-0005-0000-0000-000043000000}"/>
    <cellStyle name="Percent 3" xfId="132" xr:uid="{00000000-0005-0000-0000-00008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D9361F.F15C89C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53511</xdr:rowOff>
    </xdr:from>
    <xdr:to>
      <xdr:col>2</xdr:col>
      <xdr:colOff>784047</xdr:colOff>
      <xdr:row>7</xdr:row>
      <xdr:rowOff>107023</xdr:rowOff>
    </xdr:to>
    <xdr:pic>
      <xdr:nvPicPr>
        <xdr:cNvPr id="2" name="Picture 8">
          <a:extLst>
            <a:ext uri="{FF2B5EF4-FFF2-40B4-BE49-F238E27FC236}">
              <a16:creationId xmlns:a16="http://schemas.microsoft.com/office/drawing/2014/main" id="{34772B82-4090-4EC3-BD57-11092F866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457200" y="219075"/>
          <a:ext cx="152400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2FB9-1E8E-41CD-895E-E408BAA70E2B}">
  <dimension ref="A1:X33"/>
  <sheetViews>
    <sheetView tabSelected="1" workbookViewId="0">
      <selection activeCell="G35" sqref="G35"/>
    </sheetView>
  </sheetViews>
  <sheetFormatPr defaultColWidth="11.5703125" defaultRowHeight="15"/>
  <cols>
    <col min="1" max="1" width="29.140625" style="11" bestFit="1" customWidth="1"/>
    <col min="2" max="3" width="11.5703125" style="7"/>
    <col min="4" max="4" width="13.42578125" style="7" customWidth="1"/>
    <col min="5" max="5" width="12.5703125" style="10" customWidth="1"/>
    <col min="6" max="6" width="12.5703125" style="9" customWidth="1"/>
    <col min="7" max="7" width="11.5703125" style="10"/>
    <col min="8" max="8" width="11.5703125" style="9"/>
    <col min="9" max="9" width="11.5703125" style="10"/>
    <col min="10" max="10" width="11.5703125" style="12"/>
    <col min="11" max="24" width="11.5703125" style="10"/>
    <col min="25" max="16384" width="11.5703125" style="13"/>
  </cols>
  <sheetData>
    <row r="1" spans="1:12" s="5" customFormat="1" ht="60">
      <c r="A1" s="1" t="s">
        <v>3</v>
      </c>
      <c r="B1" s="1" t="s">
        <v>2</v>
      </c>
      <c r="C1" s="1" t="s">
        <v>4</v>
      </c>
      <c r="D1" s="1" t="s">
        <v>5</v>
      </c>
      <c r="E1" s="2" t="s">
        <v>6</v>
      </c>
      <c r="F1" s="3" t="s">
        <v>7</v>
      </c>
      <c r="G1" s="2" t="s">
        <v>8</v>
      </c>
      <c r="H1" s="3" t="s">
        <v>9</v>
      </c>
      <c r="I1" s="2" t="s">
        <v>12</v>
      </c>
      <c r="J1" s="4" t="s">
        <v>13</v>
      </c>
      <c r="K1" s="2" t="s">
        <v>10</v>
      </c>
      <c r="L1" s="2" t="s">
        <v>11</v>
      </c>
    </row>
    <row r="2" spans="1:12">
      <c r="A2" s="6" t="s">
        <v>43</v>
      </c>
      <c r="B2" s="7">
        <v>1</v>
      </c>
      <c r="C2" s="7">
        <v>4</v>
      </c>
      <c r="D2" s="7">
        <v>2025</v>
      </c>
      <c r="E2" s="8">
        <f>IF(April25!G13&gt;0,April25!G13,0)</f>
        <v>7798</v>
      </c>
      <c r="F2" s="9">
        <v>0.22</v>
      </c>
      <c r="G2" s="8"/>
      <c r="H2" s="9">
        <v>0.7</v>
      </c>
      <c r="I2" s="8">
        <f>IF(April25!K13&gt;0,April25!K13,0)</f>
        <v>66</v>
      </c>
      <c r="J2" s="9">
        <v>8.6</v>
      </c>
      <c r="K2" s="8"/>
      <c r="L2" s="8"/>
    </row>
    <row r="3" spans="1:12">
      <c r="A3" s="6" t="s">
        <v>43</v>
      </c>
      <c r="B3" s="7">
        <f>B2+1</f>
        <v>2</v>
      </c>
      <c r="C3" s="7">
        <v>4</v>
      </c>
      <c r="D3" s="7">
        <v>2025</v>
      </c>
      <c r="E3" s="8">
        <f>IF(April25!G14&gt;0,April25!G14,0)</f>
        <v>8172</v>
      </c>
      <c r="F3" s="9">
        <v>0.22</v>
      </c>
      <c r="G3" s="8"/>
      <c r="H3" s="9">
        <v>0.7</v>
      </c>
      <c r="I3" s="8">
        <f>IF(April25!K14&gt;0,April25!K14,0)</f>
        <v>71</v>
      </c>
      <c r="J3" s="9">
        <v>8.6</v>
      </c>
      <c r="K3" s="8"/>
      <c r="L3" s="8"/>
    </row>
    <row r="4" spans="1:12">
      <c r="A4" s="6" t="s">
        <v>43</v>
      </c>
      <c r="B4" s="7">
        <f t="shared" ref="B4:B32" si="0">B3+1</f>
        <v>3</v>
      </c>
      <c r="C4" s="7">
        <v>4</v>
      </c>
      <c r="D4" s="7">
        <v>2025</v>
      </c>
      <c r="E4" s="8">
        <f>IF(April25!G15&gt;0,April25!G15,0)</f>
        <v>9056</v>
      </c>
      <c r="F4" s="9">
        <v>0.22</v>
      </c>
      <c r="G4" s="8">
        <f>April25!Q15</f>
        <v>2300</v>
      </c>
      <c r="H4" s="9">
        <v>0.7</v>
      </c>
      <c r="I4" s="8">
        <f>IF(April25!K15&gt;0,April25!K15,0)</f>
        <v>58</v>
      </c>
      <c r="J4" s="9">
        <v>8.6</v>
      </c>
      <c r="K4" s="8"/>
      <c r="L4" s="8"/>
    </row>
    <row r="5" spans="1:12">
      <c r="A5" s="6" t="s">
        <v>43</v>
      </c>
      <c r="B5" s="7">
        <f t="shared" si="0"/>
        <v>4</v>
      </c>
      <c r="C5" s="7">
        <v>4</v>
      </c>
      <c r="D5" s="7">
        <v>2025</v>
      </c>
      <c r="E5" s="8">
        <f>IF(April25!G16&gt;0,April25!G16,0)</f>
        <v>9835</v>
      </c>
      <c r="F5" s="9">
        <v>0.22</v>
      </c>
      <c r="G5" s="8"/>
      <c r="H5" s="9">
        <v>0.7</v>
      </c>
      <c r="I5" s="8">
        <f>IF(April25!K16&gt;0,April25!K16,0)</f>
        <v>77</v>
      </c>
      <c r="J5" s="9">
        <v>8.6</v>
      </c>
      <c r="K5" s="8"/>
      <c r="L5" s="8"/>
    </row>
    <row r="6" spans="1:12">
      <c r="A6" s="6" t="s">
        <v>43</v>
      </c>
      <c r="B6" s="7">
        <f t="shared" si="0"/>
        <v>5</v>
      </c>
      <c r="C6" s="7">
        <v>4</v>
      </c>
      <c r="D6" s="7">
        <v>2025</v>
      </c>
      <c r="E6" s="8">
        <f>IF(April25!G17&gt;0,April25!G17,0)</f>
        <v>9151</v>
      </c>
      <c r="F6" s="9">
        <v>0.22</v>
      </c>
      <c r="G6" s="8"/>
      <c r="H6" s="9">
        <v>0.7</v>
      </c>
      <c r="I6" s="8">
        <f>IF(April25!K17&gt;0,April25!K17,0)</f>
        <v>52</v>
      </c>
      <c r="J6" s="9">
        <v>8.6</v>
      </c>
      <c r="K6" s="8"/>
      <c r="L6" s="8"/>
    </row>
    <row r="7" spans="1:12">
      <c r="A7" s="6" t="s">
        <v>43</v>
      </c>
      <c r="B7" s="7">
        <f t="shared" si="0"/>
        <v>6</v>
      </c>
      <c r="C7" s="7">
        <v>4</v>
      </c>
      <c r="D7" s="7">
        <v>2025</v>
      </c>
      <c r="E7" s="8">
        <f>IF(April25!G18&gt;0,April25!G18,0)</f>
        <v>9226</v>
      </c>
      <c r="F7" s="9">
        <v>0.22</v>
      </c>
      <c r="G7" s="8"/>
      <c r="H7" s="9">
        <v>0.7</v>
      </c>
      <c r="I7" s="8">
        <f>IF(April25!K18&gt;0,April25!K18,0)</f>
        <v>68</v>
      </c>
      <c r="J7" s="9">
        <v>8.6</v>
      </c>
      <c r="K7" s="8"/>
      <c r="L7" s="8"/>
    </row>
    <row r="8" spans="1:12">
      <c r="A8" s="6" t="s">
        <v>43</v>
      </c>
      <c r="B8" s="7">
        <f t="shared" si="0"/>
        <v>7</v>
      </c>
      <c r="C8" s="7">
        <v>4</v>
      </c>
      <c r="D8" s="7">
        <v>2025</v>
      </c>
      <c r="E8" s="8">
        <f>IF(April25!G19&gt;0,April25!G19,0)</f>
        <v>9373</v>
      </c>
      <c r="F8" s="9">
        <v>0.22</v>
      </c>
      <c r="G8" s="8"/>
      <c r="H8" s="9">
        <v>0.7</v>
      </c>
      <c r="I8" s="8">
        <f>IF(April25!K19&gt;0,April25!K19,0)</f>
        <v>56</v>
      </c>
      <c r="J8" s="9">
        <v>8.6</v>
      </c>
      <c r="K8" s="8"/>
      <c r="L8" s="8"/>
    </row>
    <row r="9" spans="1:12">
      <c r="A9" s="6" t="s">
        <v>43</v>
      </c>
      <c r="B9" s="7">
        <f t="shared" si="0"/>
        <v>8</v>
      </c>
      <c r="C9" s="7">
        <v>4</v>
      </c>
      <c r="D9" s="7">
        <v>2025</v>
      </c>
      <c r="E9" s="8">
        <f>IF(April25!G20&gt;0,April25!G20,0)</f>
        <v>9417</v>
      </c>
      <c r="F9" s="9">
        <v>0.22</v>
      </c>
      <c r="G9" s="8"/>
      <c r="H9" s="9">
        <v>0.7</v>
      </c>
      <c r="I9" s="8">
        <f>IF(April25!K20&gt;0,April25!K20,0)</f>
        <v>54</v>
      </c>
      <c r="J9" s="9">
        <v>8.6</v>
      </c>
      <c r="K9" s="8"/>
      <c r="L9" s="8"/>
    </row>
    <row r="10" spans="1:12">
      <c r="A10" s="6" t="s">
        <v>43</v>
      </c>
      <c r="B10" s="7">
        <f t="shared" si="0"/>
        <v>9</v>
      </c>
      <c r="C10" s="7">
        <v>4</v>
      </c>
      <c r="D10" s="7">
        <v>2025</v>
      </c>
      <c r="E10" s="8">
        <f>IF(April25!G21&gt;0,April25!G21,0)</f>
        <v>9751</v>
      </c>
      <c r="F10" s="9">
        <v>0.22</v>
      </c>
      <c r="G10" s="8">
        <f>April25!Q21</f>
        <v>2150</v>
      </c>
      <c r="H10" s="9">
        <v>0.7</v>
      </c>
      <c r="I10" s="8">
        <f>IF(April25!K21&gt;0,April25!K21,0)</f>
        <v>29</v>
      </c>
      <c r="J10" s="9">
        <v>8.6</v>
      </c>
      <c r="K10" s="8"/>
      <c r="L10" s="8"/>
    </row>
    <row r="11" spans="1:12">
      <c r="A11" s="6" t="s">
        <v>43</v>
      </c>
      <c r="B11" s="7">
        <f t="shared" si="0"/>
        <v>10</v>
      </c>
      <c r="C11" s="7">
        <v>4</v>
      </c>
      <c r="D11" s="7">
        <v>2025</v>
      </c>
      <c r="E11" s="8">
        <f>IF(April25!G22&gt;0,April25!G22,0)</f>
        <v>9801</v>
      </c>
      <c r="F11" s="9">
        <v>0.22</v>
      </c>
      <c r="G11" s="8"/>
      <c r="H11" s="9">
        <v>0.7</v>
      </c>
      <c r="I11" s="8">
        <f>IF(April25!K22&gt;0,April25!K22,0)</f>
        <v>31</v>
      </c>
      <c r="J11" s="9">
        <v>8.6</v>
      </c>
      <c r="K11" s="8"/>
      <c r="L11" s="8"/>
    </row>
    <row r="12" spans="1:12">
      <c r="A12" s="6" t="s">
        <v>43</v>
      </c>
      <c r="B12" s="7">
        <f t="shared" si="0"/>
        <v>11</v>
      </c>
      <c r="C12" s="7">
        <v>4</v>
      </c>
      <c r="D12" s="7">
        <v>2025</v>
      </c>
      <c r="E12" s="8">
        <f>IF(April25!G23&gt;0,April25!G23,0)</f>
        <v>9874</v>
      </c>
      <c r="F12" s="9">
        <v>0.22</v>
      </c>
      <c r="G12" s="8"/>
      <c r="H12" s="9">
        <v>0.7</v>
      </c>
      <c r="I12" s="8">
        <f>IF(April25!K23&gt;0,April25!K23,0)</f>
        <v>20</v>
      </c>
      <c r="J12" s="9">
        <v>8.6</v>
      </c>
      <c r="K12" s="8"/>
      <c r="L12" s="8"/>
    </row>
    <row r="13" spans="1:12">
      <c r="A13" s="6" t="s">
        <v>43</v>
      </c>
      <c r="B13" s="7">
        <f t="shared" si="0"/>
        <v>12</v>
      </c>
      <c r="C13" s="7">
        <v>4</v>
      </c>
      <c r="D13" s="7">
        <v>2025</v>
      </c>
      <c r="E13" s="8">
        <f>IF(April25!G24&gt;0,April25!G24,0)</f>
        <v>9784</v>
      </c>
      <c r="F13" s="9">
        <v>0.22</v>
      </c>
      <c r="G13" s="8"/>
      <c r="H13" s="9">
        <v>0.7</v>
      </c>
      <c r="I13" s="8">
        <f>IF(April25!K24&gt;0,April25!K24,0)</f>
        <v>58</v>
      </c>
      <c r="J13" s="9">
        <v>8.6</v>
      </c>
      <c r="K13" s="8"/>
      <c r="L13" s="8"/>
    </row>
    <row r="14" spans="1:12">
      <c r="A14" s="6" t="s">
        <v>43</v>
      </c>
      <c r="B14" s="7">
        <f t="shared" si="0"/>
        <v>13</v>
      </c>
      <c r="C14" s="7">
        <v>4</v>
      </c>
      <c r="D14" s="7">
        <v>2025</v>
      </c>
      <c r="E14" s="8">
        <f>IF(April25!G25&gt;0,April25!G25,0)</f>
        <v>9720</v>
      </c>
      <c r="F14" s="9">
        <v>0.22</v>
      </c>
      <c r="G14" s="8"/>
      <c r="H14" s="9">
        <v>0.7</v>
      </c>
      <c r="I14" s="8">
        <f>IF(April25!K25&gt;0,April25!K25,0)</f>
        <v>74</v>
      </c>
      <c r="J14" s="9">
        <v>8.6</v>
      </c>
      <c r="K14" s="8"/>
      <c r="L14" s="8"/>
    </row>
    <row r="15" spans="1:12">
      <c r="A15" s="6" t="s">
        <v>43</v>
      </c>
      <c r="B15" s="7">
        <f t="shared" si="0"/>
        <v>14</v>
      </c>
      <c r="C15" s="7">
        <v>4</v>
      </c>
      <c r="D15" s="7">
        <v>2025</v>
      </c>
      <c r="E15" s="8">
        <f>IF(April25!G26&gt;0,April25!G26,0)</f>
        <v>10146</v>
      </c>
      <c r="F15" s="9">
        <v>0.22</v>
      </c>
      <c r="G15" s="8"/>
      <c r="H15" s="9">
        <v>0.7</v>
      </c>
      <c r="I15" s="8">
        <f>IF(April25!K26&gt;0,April25!K26,0)</f>
        <v>74</v>
      </c>
      <c r="J15" s="9">
        <v>8.6</v>
      </c>
      <c r="K15" s="8"/>
      <c r="L15" s="8"/>
    </row>
    <row r="16" spans="1:12">
      <c r="A16" s="6" t="s">
        <v>43</v>
      </c>
      <c r="B16" s="7">
        <f t="shared" si="0"/>
        <v>15</v>
      </c>
      <c r="C16" s="7">
        <v>4</v>
      </c>
      <c r="D16" s="7">
        <v>2025</v>
      </c>
      <c r="E16" s="8">
        <f>IF(April25!G27&gt;0,April25!G27,0)</f>
        <v>9298</v>
      </c>
      <c r="F16" s="9">
        <v>0.22</v>
      </c>
      <c r="G16" s="8">
        <f>April25!Q27</f>
        <v>2100</v>
      </c>
      <c r="H16" s="9">
        <v>0.7</v>
      </c>
      <c r="I16" s="8">
        <f>IF(April25!K27&gt;0,April25!K27,0)</f>
        <v>61</v>
      </c>
      <c r="J16" s="9">
        <v>8.6</v>
      </c>
      <c r="K16" s="8"/>
      <c r="L16" s="8"/>
    </row>
    <row r="17" spans="1:12">
      <c r="A17" s="6" t="s">
        <v>43</v>
      </c>
      <c r="B17" s="7">
        <f t="shared" si="0"/>
        <v>16</v>
      </c>
      <c r="C17" s="7">
        <v>4</v>
      </c>
      <c r="D17" s="7">
        <v>2025</v>
      </c>
      <c r="E17" s="8">
        <f>IF(April25!G28&gt;0,April25!G28,0)</f>
        <v>8899</v>
      </c>
      <c r="F17" s="9">
        <v>0.22</v>
      </c>
      <c r="G17" s="8"/>
      <c r="H17" s="9">
        <v>0.7</v>
      </c>
      <c r="I17" s="8">
        <f>IF(April25!K28&gt;0,April25!K28,0)</f>
        <v>64</v>
      </c>
      <c r="J17" s="9">
        <v>8.6</v>
      </c>
      <c r="K17" s="8"/>
      <c r="L17" s="8"/>
    </row>
    <row r="18" spans="1:12">
      <c r="A18" s="6" t="s">
        <v>43</v>
      </c>
      <c r="B18" s="7">
        <f t="shared" si="0"/>
        <v>17</v>
      </c>
      <c r="C18" s="7">
        <v>4</v>
      </c>
      <c r="D18" s="7">
        <v>2025</v>
      </c>
      <c r="E18" s="8">
        <f>IF(April25!G29&gt;0,April25!G29,0)</f>
        <v>8941</v>
      </c>
      <c r="F18" s="9">
        <v>0.22</v>
      </c>
      <c r="G18" s="8"/>
      <c r="H18" s="9">
        <v>0.7</v>
      </c>
      <c r="I18" s="8">
        <f>IF(April25!K29&gt;0,April25!K29,0)</f>
        <v>82</v>
      </c>
      <c r="J18" s="9">
        <v>8.6</v>
      </c>
      <c r="K18" s="8"/>
      <c r="L18" s="8"/>
    </row>
    <row r="19" spans="1:12">
      <c r="A19" s="6" t="s">
        <v>43</v>
      </c>
      <c r="B19" s="7">
        <f t="shared" si="0"/>
        <v>18</v>
      </c>
      <c r="C19" s="7">
        <v>4</v>
      </c>
      <c r="D19" s="7">
        <v>2025</v>
      </c>
      <c r="E19" s="8">
        <f>IF(April25!G30&gt;0,April25!G30,0)</f>
        <v>8484</v>
      </c>
      <c r="F19" s="9">
        <v>0.22</v>
      </c>
      <c r="G19" s="8"/>
      <c r="H19" s="9">
        <v>0.7</v>
      </c>
      <c r="I19" s="8">
        <f>IF(April25!K30&gt;0,April25!K30,0)</f>
        <v>6</v>
      </c>
      <c r="J19" s="9">
        <v>8.6</v>
      </c>
      <c r="K19" s="8"/>
      <c r="L19" s="8"/>
    </row>
    <row r="20" spans="1:12">
      <c r="A20" s="6" t="s">
        <v>43</v>
      </c>
      <c r="B20" s="7">
        <f t="shared" si="0"/>
        <v>19</v>
      </c>
      <c r="C20" s="7">
        <v>4</v>
      </c>
      <c r="D20" s="7">
        <v>2025</v>
      </c>
      <c r="E20" s="8">
        <f>IF(April25!G31&gt;0,April25!G31,0)</f>
        <v>8619</v>
      </c>
      <c r="F20" s="9">
        <v>0.22</v>
      </c>
      <c r="G20" s="8"/>
      <c r="H20" s="9">
        <v>0.7</v>
      </c>
      <c r="I20" s="8">
        <f>IF(April25!K31&gt;0,April25!K31,0)</f>
        <v>5</v>
      </c>
      <c r="J20" s="9">
        <v>8.6</v>
      </c>
      <c r="K20" s="8"/>
      <c r="L20" s="8"/>
    </row>
    <row r="21" spans="1:12">
      <c r="A21" s="6" t="s">
        <v>43</v>
      </c>
      <c r="B21" s="7">
        <f t="shared" si="0"/>
        <v>20</v>
      </c>
      <c r="C21" s="7">
        <v>4</v>
      </c>
      <c r="D21" s="7">
        <v>2025</v>
      </c>
      <c r="E21" s="8">
        <f>IF(April25!G32&gt;0,April25!G32,0)</f>
        <v>8869</v>
      </c>
      <c r="F21" s="9">
        <v>0.22</v>
      </c>
      <c r="G21" s="8"/>
      <c r="H21" s="9">
        <v>0.7</v>
      </c>
      <c r="I21" s="8">
        <f>IF(April25!K32&gt;0,April25!K32,0)</f>
        <v>15</v>
      </c>
      <c r="J21" s="9">
        <v>8.6</v>
      </c>
      <c r="K21" s="8"/>
      <c r="L21" s="8"/>
    </row>
    <row r="22" spans="1:12">
      <c r="A22" s="6" t="s">
        <v>43</v>
      </c>
      <c r="B22" s="7">
        <f t="shared" si="0"/>
        <v>21</v>
      </c>
      <c r="C22" s="7">
        <v>4</v>
      </c>
      <c r="D22" s="7">
        <v>2025</v>
      </c>
      <c r="E22" s="8">
        <f>IF(April25!G33&gt;0,April25!G33,0)</f>
        <v>8716</v>
      </c>
      <c r="F22" s="9">
        <v>0.22</v>
      </c>
      <c r="G22" s="8">
        <f>April25!Q33</f>
        <v>2000</v>
      </c>
      <c r="H22" s="9">
        <v>0.7</v>
      </c>
      <c r="I22" s="8">
        <f>IF(April25!K33&gt;0,April25!K33,0)</f>
        <v>13</v>
      </c>
      <c r="J22" s="9">
        <v>8.6</v>
      </c>
      <c r="K22" s="8"/>
      <c r="L22" s="8"/>
    </row>
    <row r="23" spans="1:12">
      <c r="A23" s="6" t="s">
        <v>43</v>
      </c>
      <c r="B23" s="7">
        <f t="shared" si="0"/>
        <v>22</v>
      </c>
      <c r="C23" s="7">
        <v>4</v>
      </c>
      <c r="D23" s="7">
        <v>2025</v>
      </c>
      <c r="E23" s="8">
        <f>IF(April25!G34&gt;0,April25!G34,0)</f>
        <v>9927</v>
      </c>
      <c r="F23" s="9">
        <v>0.22</v>
      </c>
      <c r="G23" s="8"/>
      <c r="H23" s="9">
        <v>0.7</v>
      </c>
      <c r="I23" s="8">
        <f>IF(April25!K34&gt;0,April25!K34,0)</f>
        <v>6</v>
      </c>
      <c r="J23" s="9">
        <v>8.6</v>
      </c>
      <c r="K23" s="8"/>
      <c r="L23" s="8"/>
    </row>
    <row r="24" spans="1:12">
      <c r="A24" s="6" t="s">
        <v>43</v>
      </c>
      <c r="B24" s="7">
        <f t="shared" si="0"/>
        <v>23</v>
      </c>
      <c r="C24" s="7">
        <v>4</v>
      </c>
      <c r="D24" s="7">
        <v>2025</v>
      </c>
      <c r="E24" s="8">
        <f>IF(April25!G35&gt;0,April25!G35,0)</f>
        <v>9454</v>
      </c>
      <c r="F24" s="9">
        <v>0.22</v>
      </c>
      <c r="G24" s="8"/>
      <c r="H24" s="9">
        <v>0.7</v>
      </c>
      <c r="I24" s="8">
        <f>IF(April25!K35&gt;0,April25!K35,0)</f>
        <v>15</v>
      </c>
      <c r="J24" s="9">
        <v>8.6</v>
      </c>
      <c r="K24" s="8"/>
      <c r="L24" s="8"/>
    </row>
    <row r="25" spans="1:12">
      <c r="A25" s="6" t="s">
        <v>43</v>
      </c>
      <c r="B25" s="7">
        <f t="shared" si="0"/>
        <v>24</v>
      </c>
      <c r="C25" s="7">
        <v>4</v>
      </c>
      <c r="D25" s="7">
        <v>2025</v>
      </c>
      <c r="E25" s="8">
        <f>IF(April25!G36&gt;0,April25!G36,0)</f>
        <v>10101</v>
      </c>
      <c r="F25" s="9">
        <v>0.22</v>
      </c>
      <c r="G25" s="8"/>
      <c r="H25" s="9">
        <v>0.7</v>
      </c>
      <c r="I25" s="8">
        <f>IF(April25!K36&gt;0,April25!K36,0)</f>
        <v>20</v>
      </c>
      <c r="J25" s="9">
        <v>8.6</v>
      </c>
      <c r="K25" s="8"/>
      <c r="L25" s="8"/>
    </row>
    <row r="26" spans="1:12">
      <c r="A26" s="6" t="s">
        <v>43</v>
      </c>
      <c r="B26" s="7">
        <f>B25+1</f>
        <v>25</v>
      </c>
      <c r="C26" s="7">
        <v>4</v>
      </c>
      <c r="D26" s="7">
        <v>2025</v>
      </c>
      <c r="E26" s="8">
        <f>IF(April25!G37&gt;0,April25!G37,0)</f>
        <v>7685</v>
      </c>
      <c r="F26" s="9">
        <v>0.22</v>
      </c>
      <c r="G26" s="8"/>
      <c r="H26" s="9">
        <v>0.7</v>
      </c>
      <c r="I26" s="8">
        <f>IF(April25!K37&gt;0,April25!K37,0)</f>
        <v>2</v>
      </c>
      <c r="J26" s="9">
        <v>8.6</v>
      </c>
      <c r="K26" s="8"/>
      <c r="L26" s="8"/>
    </row>
    <row r="27" spans="1:12">
      <c r="A27" s="6" t="s">
        <v>43</v>
      </c>
      <c r="B27" s="7">
        <f t="shared" si="0"/>
        <v>26</v>
      </c>
      <c r="C27" s="7">
        <v>4</v>
      </c>
      <c r="D27" s="7">
        <v>2025</v>
      </c>
      <c r="E27" s="8">
        <f>IF(April25!G38&gt;0,April25!G38,0)</f>
        <v>8934</v>
      </c>
      <c r="F27" s="9">
        <v>0.22</v>
      </c>
      <c r="G27" s="8"/>
      <c r="H27" s="9">
        <v>0.7</v>
      </c>
      <c r="I27" s="8">
        <f>IF(April25!K38&gt;0,April25!K38,0)</f>
        <v>3</v>
      </c>
      <c r="J27" s="9">
        <v>8.6</v>
      </c>
      <c r="K27" s="8"/>
      <c r="L27" s="8"/>
    </row>
    <row r="28" spans="1:12">
      <c r="A28" s="6" t="s">
        <v>43</v>
      </c>
      <c r="B28" s="7">
        <f t="shared" si="0"/>
        <v>27</v>
      </c>
      <c r="C28" s="7">
        <v>4</v>
      </c>
      <c r="D28" s="7">
        <v>2025</v>
      </c>
      <c r="E28" s="8">
        <f>IF(April25!G39&gt;0,April25!G39,0)</f>
        <v>9169</v>
      </c>
      <c r="F28" s="9">
        <v>0.22</v>
      </c>
      <c r="G28" s="8"/>
      <c r="H28" s="9">
        <v>0.7</v>
      </c>
      <c r="I28" s="8">
        <f>IF(April25!K39&gt;0,April25!K39,0)</f>
        <v>12</v>
      </c>
      <c r="J28" s="9">
        <v>8.6</v>
      </c>
      <c r="K28" s="8"/>
      <c r="L28" s="8"/>
    </row>
    <row r="29" spans="1:12">
      <c r="A29" s="6" t="s">
        <v>43</v>
      </c>
      <c r="B29" s="7">
        <f t="shared" si="0"/>
        <v>28</v>
      </c>
      <c r="C29" s="7">
        <v>4</v>
      </c>
      <c r="D29" s="7">
        <v>2025</v>
      </c>
      <c r="E29" s="8">
        <f>IF(April25!G40&gt;0,April25!G40,0)</f>
        <v>9432</v>
      </c>
      <c r="F29" s="9">
        <v>0.22</v>
      </c>
      <c r="G29" s="8"/>
      <c r="H29" s="9">
        <v>0.7</v>
      </c>
      <c r="I29" s="8">
        <f>IF(April25!K40&gt;0,April25!K40,0)</f>
        <v>9</v>
      </c>
      <c r="J29" s="9">
        <v>8.6</v>
      </c>
      <c r="K29" s="8"/>
      <c r="L29" s="8"/>
    </row>
    <row r="30" spans="1:12">
      <c r="A30" s="6" t="s">
        <v>43</v>
      </c>
      <c r="B30" s="7">
        <f t="shared" si="0"/>
        <v>29</v>
      </c>
      <c r="C30" s="7">
        <v>4</v>
      </c>
      <c r="D30" s="7">
        <v>2025</v>
      </c>
      <c r="E30" s="8">
        <f>IF(April25!G41&gt;0,April25!G41,0)</f>
        <v>8527</v>
      </c>
      <c r="F30" s="9">
        <v>0.22</v>
      </c>
      <c r="G30" s="8"/>
      <c r="H30" s="9">
        <v>0.7</v>
      </c>
      <c r="I30" s="8">
        <f>IF(April25!K41&gt;0,April25!K41,0)</f>
        <v>6</v>
      </c>
      <c r="J30" s="9">
        <v>8.6</v>
      </c>
      <c r="K30" s="8"/>
      <c r="L30" s="8"/>
    </row>
    <row r="31" spans="1:12">
      <c r="A31" s="6" t="s">
        <v>43</v>
      </c>
      <c r="B31" s="7">
        <f t="shared" si="0"/>
        <v>30</v>
      </c>
      <c r="C31" s="7">
        <v>4</v>
      </c>
      <c r="D31" s="7">
        <v>2025</v>
      </c>
      <c r="E31" s="8">
        <f>IF(April25!G42&gt;0,April25!G42,0)</f>
        <v>10234</v>
      </c>
      <c r="F31" s="9">
        <v>0.22</v>
      </c>
      <c r="G31" s="8"/>
      <c r="H31" s="9">
        <v>0.7</v>
      </c>
      <c r="I31" s="8">
        <f>IF(April25!K42&gt;0,April25!K42,0)</f>
        <v>5</v>
      </c>
      <c r="J31" s="9">
        <v>8.6</v>
      </c>
      <c r="K31" s="8"/>
      <c r="L31" s="8"/>
    </row>
    <row r="32" spans="1:12">
      <c r="A32" s="6" t="s">
        <v>43</v>
      </c>
      <c r="B32" s="7">
        <f t="shared" si="0"/>
        <v>31</v>
      </c>
      <c r="C32" s="7">
        <v>4</v>
      </c>
      <c r="D32" s="7">
        <v>2025</v>
      </c>
      <c r="E32" s="8">
        <f>IF(April25!G43&gt;0,April25!G43,0)</f>
        <v>0</v>
      </c>
      <c r="G32" s="8"/>
      <c r="H32" s="9">
        <v>0.7</v>
      </c>
      <c r="I32" s="8">
        <f>IF(April25!K43&gt;0,April25!K43,0)</f>
        <v>0</v>
      </c>
      <c r="J32" s="9">
        <v>8.6</v>
      </c>
      <c r="K32" s="8"/>
      <c r="L32" s="8"/>
    </row>
    <row r="33" spans="7:7">
      <c r="G33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46498-D10A-492C-BD4F-B991C9AA402D}">
  <dimension ref="A5:V55"/>
  <sheetViews>
    <sheetView topLeftCell="A16" workbookViewId="0">
      <selection activeCell="S43" sqref="S43"/>
    </sheetView>
  </sheetViews>
  <sheetFormatPr defaultColWidth="8.85546875" defaultRowHeight="12.75"/>
  <cols>
    <col min="1" max="1" width="6.85546875" style="14" customWidth="1"/>
    <col min="2" max="2" width="11.140625" style="14" customWidth="1"/>
    <col min="3" max="3" width="13.28515625" style="14" customWidth="1"/>
    <col min="4" max="4" width="11.5703125" style="14" customWidth="1"/>
    <col min="5" max="5" width="12.42578125" style="14" customWidth="1"/>
    <col min="6" max="6" width="10.7109375" style="14" customWidth="1"/>
    <col min="7" max="7" width="18.28515625" style="14" customWidth="1"/>
    <col min="8" max="8" width="2" style="14" customWidth="1"/>
    <col min="9" max="9" width="7" style="14" customWidth="1"/>
    <col min="10" max="10" width="16.140625" style="14" customWidth="1"/>
    <col min="11" max="11" width="19.28515625" style="14" customWidth="1"/>
    <col min="12" max="12" width="2.140625" style="14" customWidth="1"/>
    <col min="13" max="13" width="6.85546875" style="14" customWidth="1"/>
    <col min="14" max="14" width="22.85546875" style="14" customWidth="1"/>
    <col min="15" max="15" width="17" style="14" customWidth="1"/>
    <col min="16" max="16" width="9.42578125" style="14" customWidth="1"/>
    <col min="17" max="17" width="9.7109375" style="14" customWidth="1"/>
    <col min="18" max="19" width="16.7109375" style="14" customWidth="1"/>
    <col min="20" max="21" width="8.85546875" style="14"/>
    <col min="22" max="22" width="12.28515625" style="14" customWidth="1"/>
    <col min="23" max="16384" width="8.85546875" style="14"/>
  </cols>
  <sheetData>
    <row r="5" spans="1:20" ht="14.25" customHeight="1"/>
    <row r="6" spans="1:20" ht="14.25" customHeight="1">
      <c r="P6" s="15"/>
    </row>
    <row r="7" spans="1:20" ht="9.75" customHeight="1"/>
    <row r="8" spans="1:20" ht="20.25" customHeight="1" thickBot="1"/>
    <row r="9" spans="1:20" s="20" customFormat="1" ht="21.75" customHeight="1" thickBot="1">
      <c r="A9" s="143" t="s">
        <v>14</v>
      </c>
      <c r="B9" s="144"/>
      <c r="C9" s="144"/>
      <c r="D9" s="144"/>
      <c r="E9" s="144"/>
      <c r="F9" s="144"/>
      <c r="G9" s="16"/>
      <c r="H9" s="17"/>
      <c r="I9" s="145" t="s">
        <v>15</v>
      </c>
      <c r="J9" s="146"/>
      <c r="K9" s="147"/>
      <c r="L9" s="18"/>
      <c r="M9" s="148" t="s">
        <v>16</v>
      </c>
      <c r="N9" s="149"/>
      <c r="O9" s="149"/>
      <c r="P9" s="19"/>
      <c r="R9" s="130" t="s">
        <v>17</v>
      </c>
      <c r="S9" s="131"/>
    </row>
    <row r="10" spans="1:20" s="20" customFormat="1" ht="21.75" customHeight="1" thickBot="1">
      <c r="A10" s="21"/>
      <c r="B10" s="132"/>
      <c r="C10" s="132"/>
      <c r="D10" s="132"/>
      <c r="E10" s="132"/>
      <c r="F10" s="132"/>
      <c r="G10" s="22"/>
      <c r="H10" s="23"/>
      <c r="I10" s="130"/>
      <c r="J10" s="133"/>
      <c r="K10" s="131"/>
      <c r="L10" s="24"/>
      <c r="M10" s="134" t="s">
        <v>18</v>
      </c>
      <c r="N10" s="135"/>
      <c r="O10" s="135"/>
      <c r="P10" s="25"/>
      <c r="R10" s="26" t="s">
        <v>19</v>
      </c>
      <c r="S10" s="26" t="s">
        <v>20</v>
      </c>
    </row>
    <row r="11" spans="1:20" s="36" customFormat="1" ht="56.25" customHeight="1" thickBot="1">
      <c r="A11" s="27" t="s">
        <v>0</v>
      </c>
      <c r="B11" s="28" t="s">
        <v>21</v>
      </c>
      <c r="C11" s="28" t="s">
        <v>22</v>
      </c>
      <c r="D11" s="28" t="s">
        <v>23</v>
      </c>
      <c r="E11" s="28" t="s">
        <v>24</v>
      </c>
      <c r="F11" s="27" t="s">
        <v>1</v>
      </c>
      <c r="G11" s="29" t="s">
        <v>25</v>
      </c>
      <c r="H11" s="30"/>
      <c r="I11" s="31" t="s">
        <v>0</v>
      </c>
      <c r="J11" s="32" t="s">
        <v>26</v>
      </c>
      <c r="K11" s="33" t="s">
        <v>27</v>
      </c>
      <c r="L11" s="34"/>
      <c r="M11" s="31" t="s">
        <v>0</v>
      </c>
      <c r="N11" s="32" t="s">
        <v>28</v>
      </c>
      <c r="O11" s="32" t="s">
        <v>29</v>
      </c>
      <c r="P11" s="35" t="s">
        <v>30</v>
      </c>
      <c r="R11" s="37"/>
      <c r="S11" s="37"/>
      <c r="T11" s="38" t="s">
        <v>31</v>
      </c>
    </row>
    <row r="12" spans="1:20" s="36" customFormat="1" ht="15.75" customHeight="1" thickBot="1">
      <c r="A12" s="39">
        <v>31</v>
      </c>
      <c r="B12" s="40">
        <v>4931335</v>
      </c>
      <c r="C12" s="40">
        <v>1068790</v>
      </c>
      <c r="D12" s="40">
        <v>2209601</v>
      </c>
      <c r="E12" s="40">
        <v>328144</v>
      </c>
      <c r="F12" s="41">
        <f>SUM(B12:E12)</f>
        <v>8537870</v>
      </c>
      <c r="G12" s="42"/>
      <c r="H12" s="30"/>
      <c r="I12" s="43">
        <v>31</v>
      </c>
      <c r="J12" s="44">
        <v>19512</v>
      </c>
      <c r="K12" s="45"/>
      <c r="L12" s="34"/>
      <c r="M12" s="136" t="s">
        <v>32</v>
      </c>
      <c r="N12" s="137"/>
      <c r="O12" s="137"/>
      <c r="P12" s="138"/>
      <c r="R12" s="46">
        <f>R11*0.7</f>
        <v>0</v>
      </c>
      <c r="S12" s="47">
        <f>S11*0.7</f>
        <v>0</v>
      </c>
      <c r="T12" s="36" t="s">
        <v>33</v>
      </c>
    </row>
    <row r="13" spans="1:20" ht="14.25" customHeight="1">
      <c r="A13" s="48">
        <v>1</v>
      </c>
      <c r="B13" s="49">
        <v>4935895</v>
      </c>
      <c r="C13" s="49">
        <v>1070344</v>
      </c>
      <c r="D13" s="49">
        <v>2210645</v>
      </c>
      <c r="E13" s="49">
        <v>328784</v>
      </c>
      <c r="F13" s="50">
        <f t="shared" ref="F13:F43" si="0">SUM(B13:E13)</f>
        <v>8545668</v>
      </c>
      <c r="G13" s="51">
        <f t="shared" ref="G13:G27" si="1">F13-F12</f>
        <v>7798</v>
      </c>
      <c r="H13" s="52"/>
      <c r="I13" s="48">
        <v>1</v>
      </c>
      <c r="J13" s="53">
        <v>19578</v>
      </c>
      <c r="K13" s="54">
        <f>+J13-J12</f>
        <v>66</v>
      </c>
      <c r="L13" s="55"/>
      <c r="M13" s="56">
        <v>1</v>
      </c>
      <c r="N13" s="53">
        <v>45</v>
      </c>
      <c r="O13" s="53">
        <v>7</v>
      </c>
      <c r="P13" s="57"/>
    </row>
    <row r="14" spans="1:20" ht="14.25" customHeight="1">
      <c r="A14" s="58">
        <v>2</v>
      </c>
      <c r="B14" s="59">
        <v>4940699</v>
      </c>
      <c r="C14" s="59">
        <v>1071910</v>
      </c>
      <c r="D14" s="59">
        <v>2211727</v>
      </c>
      <c r="E14" s="59">
        <v>329504</v>
      </c>
      <c r="F14" s="60">
        <f t="shared" si="0"/>
        <v>8553840</v>
      </c>
      <c r="G14" s="61">
        <f t="shared" si="1"/>
        <v>8172</v>
      </c>
      <c r="H14" s="52"/>
      <c r="I14" s="58">
        <v>2</v>
      </c>
      <c r="J14" s="62">
        <v>19649</v>
      </c>
      <c r="K14" s="63">
        <f t="shared" ref="K14:K29" si="2">J14-J13</f>
        <v>71</v>
      </c>
      <c r="L14" s="55"/>
      <c r="M14" s="64">
        <v>2</v>
      </c>
      <c r="N14" s="62">
        <v>35</v>
      </c>
      <c r="O14" s="62">
        <f>+N13-N14</f>
        <v>10</v>
      </c>
      <c r="P14" s="65"/>
      <c r="Q14" s="66"/>
      <c r="R14" s="67"/>
    </row>
    <row r="15" spans="1:20" ht="14.25" customHeight="1">
      <c r="A15" s="68">
        <v>3</v>
      </c>
      <c r="B15" s="69">
        <v>4945540</v>
      </c>
      <c r="C15" s="69">
        <v>1073175</v>
      </c>
      <c r="D15" s="69">
        <v>2213933</v>
      </c>
      <c r="E15" s="69">
        <v>330248</v>
      </c>
      <c r="F15" s="60">
        <f t="shared" si="0"/>
        <v>8562896</v>
      </c>
      <c r="G15" s="61">
        <f t="shared" si="1"/>
        <v>9056</v>
      </c>
      <c r="H15" s="52"/>
      <c r="I15" s="68">
        <v>3</v>
      </c>
      <c r="J15" s="62">
        <v>19707</v>
      </c>
      <c r="K15" s="63">
        <f t="shared" si="2"/>
        <v>58</v>
      </c>
      <c r="L15" s="55"/>
      <c r="M15" s="64">
        <v>3</v>
      </c>
      <c r="N15" s="62">
        <v>75</v>
      </c>
      <c r="O15" s="62">
        <v>6</v>
      </c>
      <c r="P15" s="65">
        <v>46</v>
      </c>
      <c r="Q15" s="66">
        <v>2300</v>
      </c>
      <c r="R15" s="66" t="s">
        <v>34</v>
      </c>
    </row>
    <row r="16" spans="1:20" ht="14.25" customHeight="1">
      <c r="A16" s="68">
        <v>4</v>
      </c>
      <c r="B16" s="69">
        <v>4950534</v>
      </c>
      <c r="C16" s="69">
        <v>1074094</v>
      </c>
      <c r="D16" s="69">
        <v>2217135</v>
      </c>
      <c r="E16" s="69">
        <v>330968</v>
      </c>
      <c r="F16" s="60">
        <f t="shared" si="0"/>
        <v>8572731</v>
      </c>
      <c r="G16" s="61">
        <f t="shared" si="1"/>
        <v>9835</v>
      </c>
      <c r="H16" s="52"/>
      <c r="I16" s="68">
        <v>4</v>
      </c>
      <c r="J16" s="62">
        <v>19784</v>
      </c>
      <c r="K16" s="63">
        <f t="shared" si="2"/>
        <v>77</v>
      </c>
      <c r="L16" s="55"/>
      <c r="M16" s="64">
        <v>4</v>
      </c>
      <c r="N16" s="62">
        <v>70</v>
      </c>
      <c r="O16" s="62">
        <f>+N15-N16</f>
        <v>5</v>
      </c>
      <c r="P16" s="65"/>
      <c r="Q16" s="66"/>
      <c r="R16" s="67"/>
    </row>
    <row r="17" spans="1:20" ht="14.25" customHeight="1">
      <c r="A17" s="68">
        <v>5</v>
      </c>
      <c r="B17" s="69">
        <v>4955082</v>
      </c>
      <c r="C17" s="69">
        <v>1075093</v>
      </c>
      <c r="D17" s="69">
        <v>2219920</v>
      </c>
      <c r="E17" s="69">
        <v>331787</v>
      </c>
      <c r="F17" s="60">
        <f t="shared" si="0"/>
        <v>8581882</v>
      </c>
      <c r="G17" s="61">
        <f t="shared" si="1"/>
        <v>9151</v>
      </c>
      <c r="H17" s="52"/>
      <c r="I17" s="68">
        <v>5</v>
      </c>
      <c r="J17" s="62">
        <v>19836</v>
      </c>
      <c r="K17" s="63">
        <f t="shared" si="2"/>
        <v>52</v>
      </c>
      <c r="L17" s="55"/>
      <c r="M17" s="64">
        <v>5</v>
      </c>
      <c r="N17" s="62">
        <v>65</v>
      </c>
      <c r="O17" s="62">
        <f>+N16-N17</f>
        <v>5</v>
      </c>
      <c r="P17" s="65"/>
      <c r="Q17" s="66"/>
      <c r="R17" s="66"/>
    </row>
    <row r="18" spans="1:20" ht="14.25" customHeight="1">
      <c r="A18" s="68">
        <v>6</v>
      </c>
      <c r="B18" s="69">
        <v>4959822</v>
      </c>
      <c r="C18" s="69">
        <v>1075986</v>
      </c>
      <c r="D18" s="69">
        <v>2222719</v>
      </c>
      <c r="E18" s="69">
        <v>332581</v>
      </c>
      <c r="F18" s="60">
        <f t="shared" si="0"/>
        <v>8591108</v>
      </c>
      <c r="G18" s="61">
        <f t="shared" si="1"/>
        <v>9226</v>
      </c>
      <c r="H18" s="52"/>
      <c r="I18" s="68">
        <v>6</v>
      </c>
      <c r="J18" s="62">
        <v>19904</v>
      </c>
      <c r="K18" s="63">
        <f t="shared" si="2"/>
        <v>68</v>
      </c>
      <c r="L18" s="55"/>
      <c r="M18" s="64">
        <v>6</v>
      </c>
      <c r="N18" s="62">
        <v>55</v>
      </c>
      <c r="O18" s="62">
        <f>+N17-N18</f>
        <v>10</v>
      </c>
      <c r="P18" s="65"/>
      <c r="Q18" s="66"/>
      <c r="R18" s="67"/>
      <c r="T18" s="70"/>
    </row>
    <row r="19" spans="1:20" ht="14.25" customHeight="1">
      <c r="A19" s="68">
        <v>7</v>
      </c>
      <c r="B19" s="69">
        <v>4964595</v>
      </c>
      <c r="C19" s="69">
        <v>1076922</v>
      </c>
      <c r="D19" s="69">
        <v>2225581</v>
      </c>
      <c r="E19" s="69">
        <v>333383</v>
      </c>
      <c r="F19" s="60">
        <f t="shared" si="0"/>
        <v>8600481</v>
      </c>
      <c r="G19" s="61">
        <f t="shared" si="1"/>
        <v>9373</v>
      </c>
      <c r="H19" s="52"/>
      <c r="I19" s="68">
        <v>7</v>
      </c>
      <c r="J19" s="62">
        <v>19960</v>
      </c>
      <c r="K19" s="63">
        <f t="shared" si="2"/>
        <v>56</v>
      </c>
      <c r="L19" s="55"/>
      <c r="M19" s="64">
        <v>7</v>
      </c>
      <c r="N19" s="62">
        <v>45</v>
      </c>
      <c r="O19" s="62">
        <f t="shared" ref="O19:O24" si="3">+N18-N19</f>
        <v>10</v>
      </c>
      <c r="P19" s="65"/>
      <c r="Q19" s="66"/>
      <c r="R19" s="67"/>
    </row>
    <row r="20" spans="1:20" ht="14.25" customHeight="1">
      <c r="A20" s="68">
        <v>8</v>
      </c>
      <c r="B20" s="69">
        <v>4969402</v>
      </c>
      <c r="C20" s="69">
        <v>1077850</v>
      </c>
      <c r="D20" s="69">
        <v>2228487</v>
      </c>
      <c r="E20" s="69">
        <v>334159</v>
      </c>
      <c r="F20" s="60">
        <f t="shared" si="0"/>
        <v>8609898</v>
      </c>
      <c r="G20" s="61">
        <f t="shared" si="1"/>
        <v>9417</v>
      </c>
      <c r="H20" s="52"/>
      <c r="I20" s="68">
        <v>8</v>
      </c>
      <c r="J20" s="62">
        <v>20014</v>
      </c>
      <c r="K20" s="63">
        <f t="shared" si="2"/>
        <v>54</v>
      </c>
      <c r="L20" s="55"/>
      <c r="M20" s="64">
        <v>8</v>
      </c>
      <c r="N20" s="62">
        <v>40</v>
      </c>
      <c r="O20" s="62">
        <f t="shared" si="3"/>
        <v>5</v>
      </c>
      <c r="P20" s="65"/>
    </row>
    <row r="21" spans="1:20" ht="14.25" customHeight="1">
      <c r="A21" s="68">
        <v>9</v>
      </c>
      <c r="B21" s="69">
        <v>4974343</v>
      </c>
      <c r="C21" s="69">
        <v>1078778</v>
      </c>
      <c r="D21" s="69">
        <v>2231611</v>
      </c>
      <c r="E21" s="69">
        <v>334917</v>
      </c>
      <c r="F21" s="60">
        <f t="shared" si="0"/>
        <v>8619649</v>
      </c>
      <c r="G21" s="61">
        <f t="shared" si="1"/>
        <v>9751</v>
      </c>
      <c r="H21" s="52"/>
      <c r="I21" s="68">
        <v>9</v>
      </c>
      <c r="J21" s="62">
        <v>20043</v>
      </c>
      <c r="K21" s="63">
        <f t="shared" si="2"/>
        <v>29</v>
      </c>
      <c r="L21" s="55"/>
      <c r="M21" s="64">
        <v>9</v>
      </c>
      <c r="N21" s="62">
        <v>78</v>
      </c>
      <c r="O21" s="62">
        <v>5</v>
      </c>
      <c r="P21" s="65">
        <v>43</v>
      </c>
      <c r="Q21" s="66">
        <v>2150</v>
      </c>
      <c r="R21" s="66" t="s">
        <v>34</v>
      </c>
    </row>
    <row r="22" spans="1:20" ht="14.25" customHeight="1">
      <c r="A22" s="68">
        <v>10</v>
      </c>
      <c r="B22" s="69">
        <v>4979129</v>
      </c>
      <c r="C22" s="69">
        <v>1079712</v>
      </c>
      <c r="D22" s="69">
        <v>2234985</v>
      </c>
      <c r="E22" s="69">
        <v>335624</v>
      </c>
      <c r="F22" s="60">
        <f t="shared" si="0"/>
        <v>8629450</v>
      </c>
      <c r="G22" s="61">
        <f t="shared" si="1"/>
        <v>9801</v>
      </c>
      <c r="H22" s="52"/>
      <c r="I22" s="68">
        <v>10</v>
      </c>
      <c r="J22" s="62">
        <v>20074</v>
      </c>
      <c r="K22" s="63">
        <f t="shared" si="2"/>
        <v>31</v>
      </c>
      <c r="L22" s="55"/>
      <c r="M22" s="64">
        <v>10</v>
      </c>
      <c r="N22" s="62">
        <v>70</v>
      </c>
      <c r="O22" s="62">
        <f t="shared" si="3"/>
        <v>8</v>
      </c>
      <c r="P22" s="65"/>
      <c r="Q22" s="66"/>
      <c r="R22" s="66"/>
    </row>
    <row r="23" spans="1:20" ht="14.25" customHeight="1">
      <c r="A23" s="68">
        <v>11</v>
      </c>
      <c r="B23" s="69">
        <v>4984121</v>
      </c>
      <c r="C23" s="69">
        <v>1080760</v>
      </c>
      <c r="D23" s="69">
        <v>2238160</v>
      </c>
      <c r="E23" s="69">
        <v>336283</v>
      </c>
      <c r="F23" s="60">
        <f t="shared" si="0"/>
        <v>8639324</v>
      </c>
      <c r="G23" s="61">
        <f t="shared" si="1"/>
        <v>9874</v>
      </c>
      <c r="H23" s="52"/>
      <c r="I23" s="68">
        <v>11</v>
      </c>
      <c r="J23" s="62">
        <v>20094</v>
      </c>
      <c r="K23" s="63">
        <f t="shared" si="2"/>
        <v>20</v>
      </c>
      <c r="L23" s="55"/>
      <c r="M23" s="64">
        <v>11</v>
      </c>
      <c r="N23" s="62">
        <v>62</v>
      </c>
      <c r="O23" s="62">
        <f t="shared" si="3"/>
        <v>8</v>
      </c>
      <c r="P23" s="65"/>
      <c r="Q23" s="71"/>
      <c r="R23" s="72"/>
    </row>
    <row r="24" spans="1:20" ht="14.25" customHeight="1">
      <c r="A24" s="68">
        <v>12</v>
      </c>
      <c r="B24" s="69">
        <v>4989115</v>
      </c>
      <c r="C24" s="69">
        <v>1081675</v>
      </c>
      <c r="D24" s="69">
        <v>2241339</v>
      </c>
      <c r="E24" s="69">
        <v>336979</v>
      </c>
      <c r="F24" s="60">
        <f t="shared" si="0"/>
        <v>8649108</v>
      </c>
      <c r="G24" s="61">
        <f t="shared" si="1"/>
        <v>9784</v>
      </c>
      <c r="H24" s="52"/>
      <c r="I24" s="68">
        <v>12</v>
      </c>
      <c r="J24" s="62">
        <v>20152</v>
      </c>
      <c r="K24" s="63">
        <f t="shared" si="2"/>
        <v>58</v>
      </c>
      <c r="L24" s="55"/>
      <c r="M24" s="64">
        <v>12</v>
      </c>
      <c r="N24" s="62">
        <v>56</v>
      </c>
      <c r="O24" s="62">
        <f t="shared" si="3"/>
        <v>6</v>
      </c>
      <c r="P24" s="73"/>
      <c r="Q24" s="74"/>
      <c r="R24" s="66"/>
    </row>
    <row r="25" spans="1:20" ht="14.25" customHeight="1">
      <c r="A25" s="68">
        <v>13</v>
      </c>
      <c r="B25" s="69">
        <v>4994084</v>
      </c>
      <c r="C25" s="69">
        <v>1082595</v>
      </c>
      <c r="D25" s="69">
        <v>2244484</v>
      </c>
      <c r="E25" s="69">
        <v>337665</v>
      </c>
      <c r="F25" s="60">
        <f t="shared" si="0"/>
        <v>8658828</v>
      </c>
      <c r="G25" s="61">
        <f t="shared" si="1"/>
        <v>9720</v>
      </c>
      <c r="H25" s="52"/>
      <c r="I25" s="68">
        <v>13</v>
      </c>
      <c r="J25" s="62">
        <v>20226</v>
      </c>
      <c r="K25" s="63">
        <f t="shared" si="2"/>
        <v>74</v>
      </c>
      <c r="L25" s="55"/>
      <c r="M25" s="64">
        <v>13</v>
      </c>
      <c r="N25" s="62">
        <v>45</v>
      </c>
      <c r="O25" s="62">
        <f>+N24-N25</f>
        <v>11</v>
      </c>
      <c r="P25" s="65"/>
      <c r="Q25" s="66"/>
      <c r="R25" s="66"/>
      <c r="S25" s="72"/>
    </row>
    <row r="26" spans="1:20" ht="14.25" customHeight="1">
      <c r="A26" s="68">
        <v>14</v>
      </c>
      <c r="B26" s="69">
        <v>4999157</v>
      </c>
      <c r="C26" s="69">
        <v>1083533</v>
      </c>
      <c r="D26" s="69">
        <v>2247908</v>
      </c>
      <c r="E26" s="69">
        <v>338376</v>
      </c>
      <c r="F26" s="60">
        <f t="shared" si="0"/>
        <v>8668974</v>
      </c>
      <c r="G26" s="61">
        <f t="shared" si="1"/>
        <v>10146</v>
      </c>
      <c r="H26" s="52"/>
      <c r="I26" s="68">
        <v>14</v>
      </c>
      <c r="J26" s="62">
        <v>20300</v>
      </c>
      <c r="K26" s="63">
        <f t="shared" si="2"/>
        <v>74</v>
      </c>
      <c r="L26" s="55"/>
      <c r="M26" s="64">
        <v>14</v>
      </c>
      <c r="N26" s="62">
        <v>40</v>
      </c>
      <c r="O26" s="62">
        <f>+N25-N26</f>
        <v>5</v>
      </c>
      <c r="P26" s="65"/>
      <c r="Q26" s="66"/>
      <c r="R26" s="67"/>
    </row>
    <row r="27" spans="1:20" ht="14.25" customHeight="1">
      <c r="A27" s="68">
        <v>15</v>
      </c>
      <c r="B27" s="75">
        <v>5003961</v>
      </c>
      <c r="C27" s="75">
        <v>1084426</v>
      </c>
      <c r="D27" s="75">
        <v>2250793</v>
      </c>
      <c r="E27" s="75">
        <v>339092</v>
      </c>
      <c r="F27" s="60">
        <f t="shared" si="0"/>
        <v>8678272</v>
      </c>
      <c r="G27" s="61">
        <f t="shared" si="1"/>
        <v>9298</v>
      </c>
      <c r="H27" s="52"/>
      <c r="I27" s="68">
        <v>15</v>
      </c>
      <c r="J27" s="62">
        <v>20361</v>
      </c>
      <c r="K27" s="63">
        <f t="shared" si="2"/>
        <v>61</v>
      </c>
      <c r="L27" s="55"/>
      <c r="M27" s="64">
        <v>15</v>
      </c>
      <c r="N27" s="62">
        <v>75</v>
      </c>
      <c r="O27" s="62">
        <v>7</v>
      </c>
      <c r="P27" s="65">
        <v>42</v>
      </c>
      <c r="Q27" s="66">
        <v>2100</v>
      </c>
      <c r="R27" s="66" t="s">
        <v>34</v>
      </c>
    </row>
    <row r="28" spans="1:20" ht="14.25" customHeight="1">
      <c r="A28" s="68">
        <v>16</v>
      </c>
      <c r="B28" s="75">
        <v>5008743</v>
      </c>
      <c r="C28" s="75">
        <v>1085326</v>
      </c>
      <c r="D28" s="75">
        <v>2253296</v>
      </c>
      <c r="E28" s="75">
        <v>339806</v>
      </c>
      <c r="F28" s="60">
        <f t="shared" si="0"/>
        <v>8687171</v>
      </c>
      <c r="G28" s="61">
        <f t="shared" ref="G28:G42" si="4">+F28-F27</f>
        <v>8899</v>
      </c>
      <c r="H28" s="52"/>
      <c r="I28" s="68">
        <v>16</v>
      </c>
      <c r="J28" s="62">
        <v>20425</v>
      </c>
      <c r="K28" s="63">
        <f t="shared" si="2"/>
        <v>64</v>
      </c>
      <c r="L28" s="55"/>
      <c r="M28" s="64">
        <v>16</v>
      </c>
      <c r="N28" s="62">
        <v>68</v>
      </c>
      <c r="O28" s="62">
        <f t="shared" ref="O28:O35" si="5">+N27-N28</f>
        <v>7</v>
      </c>
      <c r="P28" s="65"/>
    </row>
    <row r="29" spans="1:20" ht="14.25" customHeight="1">
      <c r="A29" s="68">
        <v>17</v>
      </c>
      <c r="B29" s="75">
        <v>5013616</v>
      </c>
      <c r="C29" s="75">
        <v>1086224</v>
      </c>
      <c r="D29" s="75">
        <v>2255754</v>
      </c>
      <c r="E29" s="75">
        <v>340518</v>
      </c>
      <c r="F29" s="60">
        <f t="shared" si="0"/>
        <v>8696112</v>
      </c>
      <c r="G29" s="61">
        <f t="shared" si="4"/>
        <v>8941</v>
      </c>
      <c r="H29" s="52"/>
      <c r="I29" s="68">
        <v>17</v>
      </c>
      <c r="J29" s="62">
        <v>20507</v>
      </c>
      <c r="K29" s="63">
        <f t="shared" si="2"/>
        <v>82</v>
      </c>
      <c r="L29" s="55"/>
      <c r="M29" s="64">
        <v>17</v>
      </c>
      <c r="N29" s="62">
        <v>60</v>
      </c>
      <c r="O29" s="62">
        <f t="shared" si="5"/>
        <v>8</v>
      </c>
      <c r="P29" s="65"/>
    </row>
    <row r="30" spans="1:20" ht="14.25" customHeight="1">
      <c r="A30" s="68">
        <v>18</v>
      </c>
      <c r="B30" s="75">
        <v>5018402</v>
      </c>
      <c r="C30" s="75">
        <v>1087075</v>
      </c>
      <c r="D30" s="75">
        <v>2258031</v>
      </c>
      <c r="E30" s="75">
        <v>341088</v>
      </c>
      <c r="F30" s="60">
        <f t="shared" si="0"/>
        <v>8704596</v>
      </c>
      <c r="G30" s="61">
        <f t="shared" si="4"/>
        <v>8484</v>
      </c>
      <c r="H30" s="52"/>
      <c r="I30" s="68">
        <v>18</v>
      </c>
      <c r="J30" s="62">
        <v>20513</v>
      </c>
      <c r="K30" s="63">
        <f>+J30-J29</f>
        <v>6</v>
      </c>
      <c r="L30" s="55"/>
      <c r="M30" s="64">
        <v>18</v>
      </c>
      <c r="N30" s="62">
        <v>55</v>
      </c>
      <c r="O30" s="62">
        <f t="shared" si="5"/>
        <v>5</v>
      </c>
      <c r="P30" s="65"/>
      <c r="Q30" s="66"/>
      <c r="R30" s="66"/>
    </row>
    <row r="31" spans="1:20" ht="14.25" customHeight="1">
      <c r="A31" s="68">
        <v>19</v>
      </c>
      <c r="B31" s="75">
        <v>5023024</v>
      </c>
      <c r="C31" s="75">
        <v>1087934</v>
      </c>
      <c r="D31" s="75">
        <v>2260515</v>
      </c>
      <c r="E31" s="75">
        <v>341742</v>
      </c>
      <c r="F31" s="60">
        <f t="shared" si="0"/>
        <v>8713215</v>
      </c>
      <c r="G31" s="61">
        <f t="shared" si="4"/>
        <v>8619</v>
      </c>
      <c r="H31" s="52"/>
      <c r="I31" s="68">
        <v>19</v>
      </c>
      <c r="J31" s="62">
        <v>20518</v>
      </c>
      <c r="K31" s="63">
        <f t="shared" ref="K31:K42" si="6">+J31-J30</f>
        <v>5</v>
      </c>
      <c r="L31" s="55"/>
      <c r="M31" s="64">
        <v>19</v>
      </c>
      <c r="N31" s="62">
        <v>45</v>
      </c>
      <c r="O31" s="62">
        <f t="shared" si="5"/>
        <v>10</v>
      </c>
      <c r="P31" s="65"/>
      <c r="Q31" s="66"/>
      <c r="R31" s="66"/>
    </row>
    <row r="32" spans="1:20" ht="14.25" customHeight="1">
      <c r="A32" s="68">
        <v>20</v>
      </c>
      <c r="B32" s="75">
        <v>5027758</v>
      </c>
      <c r="C32" s="75">
        <v>1088801</v>
      </c>
      <c r="D32" s="75">
        <v>2263058</v>
      </c>
      <c r="E32" s="75">
        <v>342467</v>
      </c>
      <c r="F32" s="60">
        <f t="shared" si="0"/>
        <v>8722084</v>
      </c>
      <c r="G32" s="61">
        <f t="shared" si="4"/>
        <v>8869</v>
      </c>
      <c r="H32" s="52"/>
      <c r="I32" s="68">
        <v>20</v>
      </c>
      <c r="J32" s="62">
        <v>20533</v>
      </c>
      <c r="K32" s="63">
        <f t="shared" si="6"/>
        <v>15</v>
      </c>
      <c r="L32" s="55"/>
      <c r="M32" s="64">
        <v>20</v>
      </c>
      <c r="N32" s="62">
        <v>40</v>
      </c>
      <c r="O32" s="62">
        <f t="shared" si="5"/>
        <v>5</v>
      </c>
      <c r="P32" s="65"/>
      <c r="Q32" s="66"/>
      <c r="R32" s="67"/>
      <c r="S32" s="72"/>
    </row>
    <row r="33" spans="1:22" ht="14.25" customHeight="1">
      <c r="A33" s="68">
        <v>21</v>
      </c>
      <c r="B33" s="75">
        <v>5032407</v>
      </c>
      <c r="C33" s="75">
        <v>1089644</v>
      </c>
      <c r="D33" s="75">
        <v>2265616</v>
      </c>
      <c r="E33" s="75">
        <v>343133</v>
      </c>
      <c r="F33" s="60">
        <f t="shared" si="0"/>
        <v>8730800</v>
      </c>
      <c r="G33" s="61">
        <f t="shared" si="4"/>
        <v>8716</v>
      </c>
      <c r="H33" s="52"/>
      <c r="I33" s="68">
        <v>21</v>
      </c>
      <c r="J33" s="62">
        <v>20546</v>
      </c>
      <c r="K33" s="63">
        <f t="shared" si="6"/>
        <v>13</v>
      </c>
      <c r="L33" s="55"/>
      <c r="M33" s="64">
        <v>21</v>
      </c>
      <c r="N33" s="62">
        <v>75</v>
      </c>
      <c r="O33" s="62">
        <v>5</v>
      </c>
      <c r="P33" s="65">
        <v>40</v>
      </c>
      <c r="Q33" s="66">
        <v>2000</v>
      </c>
      <c r="R33" s="66" t="s">
        <v>34</v>
      </c>
      <c r="V33" s="72"/>
    </row>
    <row r="34" spans="1:22" ht="14.25" customHeight="1">
      <c r="A34" s="68">
        <v>22</v>
      </c>
      <c r="B34" s="75">
        <v>5037565</v>
      </c>
      <c r="C34" s="75">
        <v>1090566</v>
      </c>
      <c r="D34" s="75">
        <v>2268751</v>
      </c>
      <c r="E34" s="75">
        <v>343845</v>
      </c>
      <c r="F34" s="60">
        <f t="shared" si="0"/>
        <v>8740727</v>
      </c>
      <c r="G34" s="61">
        <f t="shared" si="4"/>
        <v>9927</v>
      </c>
      <c r="H34" s="52"/>
      <c r="I34" s="68">
        <v>22</v>
      </c>
      <c r="J34" s="62">
        <v>20552</v>
      </c>
      <c r="K34" s="63">
        <f t="shared" si="6"/>
        <v>6</v>
      </c>
      <c r="L34" s="55"/>
      <c r="M34" s="64">
        <v>22</v>
      </c>
      <c r="N34" s="62">
        <v>65</v>
      </c>
      <c r="O34" s="62">
        <f t="shared" si="5"/>
        <v>10</v>
      </c>
      <c r="P34" s="73"/>
      <c r="Q34" s="66"/>
      <c r="R34" s="67"/>
    </row>
    <row r="35" spans="1:22" ht="14.25" customHeight="1">
      <c r="A35" s="68">
        <v>23</v>
      </c>
      <c r="B35" s="75">
        <v>5042910</v>
      </c>
      <c r="C35" s="75">
        <v>1092090</v>
      </c>
      <c r="D35" s="75">
        <v>2270526</v>
      </c>
      <c r="E35" s="75">
        <v>344655</v>
      </c>
      <c r="F35" s="60">
        <f t="shared" si="0"/>
        <v>8750181</v>
      </c>
      <c r="G35" s="61">
        <f t="shared" si="4"/>
        <v>9454</v>
      </c>
      <c r="H35" s="52"/>
      <c r="I35" s="68">
        <v>23</v>
      </c>
      <c r="J35" s="62">
        <v>20567</v>
      </c>
      <c r="K35" s="63">
        <f t="shared" si="6"/>
        <v>15</v>
      </c>
      <c r="L35" s="55"/>
      <c r="M35" s="64">
        <v>23</v>
      </c>
      <c r="N35" s="62">
        <v>60</v>
      </c>
      <c r="O35" s="62">
        <f t="shared" si="5"/>
        <v>5</v>
      </c>
      <c r="P35" s="65"/>
      <c r="Q35" s="66"/>
      <c r="R35" s="66"/>
      <c r="S35" s="72"/>
    </row>
    <row r="36" spans="1:22" ht="14.25" customHeight="1">
      <c r="A36" s="68">
        <v>24</v>
      </c>
      <c r="B36" s="125">
        <v>5048913</v>
      </c>
      <c r="C36" s="125">
        <v>1094064</v>
      </c>
      <c r="D36" s="125">
        <v>2271783</v>
      </c>
      <c r="E36" s="125">
        <v>345522</v>
      </c>
      <c r="F36" s="60">
        <f t="shared" si="0"/>
        <v>8760282</v>
      </c>
      <c r="G36" s="61">
        <f t="shared" si="4"/>
        <v>10101</v>
      </c>
      <c r="H36" s="52"/>
      <c r="I36" s="68">
        <v>24</v>
      </c>
      <c r="J36" s="127">
        <v>20587</v>
      </c>
      <c r="K36" s="63">
        <f t="shared" si="6"/>
        <v>20</v>
      </c>
      <c r="L36" s="55"/>
      <c r="M36" s="64">
        <v>24</v>
      </c>
      <c r="N36" s="127">
        <v>50</v>
      </c>
      <c r="O36" s="62">
        <f>+N35-N36</f>
        <v>10</v>
      </c>
      <c r="P36" s="65"/>
      <c r="Q36" s="66"/>
      <c r="R36" s="66"/>
    </row>
    <row r="37" spans="1:22" ht="14.25" customHeight="1">
      <c r="A37" s="68">
        <v>25</v>
      </c>
      <c r="B37" s="125">
        <v>5053498</v>
      </c>
      <c r="C37" s="125">
        <v>1095681</v>
      </c>
      <c r="D37" s="125">
        <v>2272608</v>
      </c>
      <c r="E37" s="125">
        <v>346180</v>
      </c>
      <c r="F37" s="60">
        <f t="shared" si="0"/>
        <v>8767967</v>
      </c>
      <c r="G37" s="61">
        <f t="shared" si="4"/>
        <v>7685</v>
      </c>
      <c r="H37" s="52"/>
      <c r="I37" s="68">
        <v>25</v>
      </c>
      <c r="J37" s="127">
        <v>20589</v>
      </c>
      <c r="K37" s="63">
        <f t="shared" si="6"/>
        <v>2</v>
      </c>
      <c r="L37" s="55"/>
      <c r="M37" s="64">
        <v>25</v>
      </c>
      <c r="N37" s="127">
        <v>40</v>
      </c>
      <c r="O37" s="62">
        <v>0</v>
      </c>
      <c r="P37" s="65"/>
      <c r="Q37" s="66"/>
      <c r="R37" s="66"/>
    </row>
    <row r="38" spans="1:22" ht="14.25" customHeight="1">
      <c r="A38" s="68">
        <v>26</v>
      </c>
      <c r="B38" s="125">
        <v>5058779</v>
      </c>
      <c r="C38" s="125">
        <v>1097470</v>
      </c>
      <c r="D38" s="125">
        <v>2273725</v>
      </c>
      <c r="E38" s="125">
        <v>346927</v>
      </c>
      <c r="F38" s="76">
        <f t="shared" si="0"/>
        <v>8776901</v>
      </c>
      <c r="G38" s="61">
        <f t="shared" si="4"/>
        <v>8934</v>
      </c>
      <c r="H38" s="52"/>
      <c r="I38" s="68">
        <v>26</v>
      </c>
      <c r="J38" s="127">
        <v>20592</v>
      </c>
      <c r="K38" s="63">
        <f t="shared" si="6"/>
        <v>3</v>
      </c>
      <c r="L38" s="55"/>
      <c r="M38" s="64">
        <v>26</v>
      </c>
      <c r="N38" s="127">
        <v>35</v>
      </c>
      <c r="O38" s="62">
        <v>0</v>
      </c>
      <c r="P38" s="65"/>
    </row>
    <row r="39" spans="1:22" ht="14.25" customHeight="1">
      <c r="A39" s="68">
        <v>27</v>
      </c>
      <c r="B39" s="125">
        <v>5064094</v>
      </c>
      <c r="C39" s="125">
        <v>1099398</v>
      </c>
      <c r="D39" s="125">
        <v>2274872</v>
      </c>
      <c r="E39" s="125">
        <v>347706</v>
      </c>
      <c r="F39" s="76">
        <f t="shared" si="0"/>
        <v>8786070</v>
      </c>
      <c r="G39" s="61">
        <f t="shared" si="4"/>
        <v>9169</v>
      </c>
      <c r="H39" s="52"/>
      <c r="I39" s="68">
        <v>27</v>
      </c>
      <c r="J39" s="128">
        <v>20604</v>
      </c>
      <c r="K39" s="63">
        <f t="shared" si="6"/>
        <v>12</v>
      </c>
      <c r="L39" s="55"/>
      <c r="M39" s="64">
        <v>27</v>
      </c>
      <c r="N39" s="127">
        <v>28</v>
      </c>
      <c r="O39" s="62">
        <f>+N38-N39</f>
        <v>7</v>
      </c>
      <c r="P39" s="65"/>
      <c r="Q39" s="66"/>
      <c r="R39" s="66"/>
    </row>
    <row r="40" spans="1:22" ht="14.25" customHeight="1">
      <c r="A40" s="68">
        <v>28</v>
      </c>
      <c r="B40" s="125">
        <v>5069593</v>
      </c>
      <c r="C40" s="125">
        <v>1101398</v>
      </c>
      <c r="D40" s="125">
        <v>2276003</v>
      </c>
      <c r="E40" s="125">
        <v>348508</v>
      </c>
      <c r="F40" s="76">
        <f t="shared" si="0"/>
        <v>8795502</v>
      </c>
      <c r="G40" s="61">
        <f t="shared" si="4"/>
        <v>9432</v>
      </c>
      <c r="H40" s="52"/>
      <c r="I40" s="68">
        <v>28</v>
      </c>
      <c r="J40" s="127">
        <v>20613</v>
      </c>
      <c r="K40" s="63">
        <f t="shared" si="6"/>
        <v>9</v>
      </c>
      <c r="L40" s="55"/>
      <c r="M40" s="64">
        <v>28</v>
      </c>
      <c r="N40" s="127">
        <v>75</v>
      </c>
      <c r="O40" s="62">
        <v>8</v>
      </c>
      <c r="P40" s="65">
        <v>50</v>
      </c>
    </row>
    <row r="41" spans="1:22" ht="14.25" customHeight="1">
      <c r="A41" s="68">
        <v>29</v>
      </c>
      <c r="B41" s="125">
        <v>5075113</v>
      </c>
      <c r="C41" s="125">
        <v>1102377</v>
      </c>
      <c r="D41" s="125">
        <v>2277200</v>
      </c>
      <c r="E41" s="125">
        <v>349339</v>
      </c>
      <c r="F41" s="77">
        <f t="shared" si="0"/>
        <v>8804029</v>
      </c>
      <c r="G41" s="61">
        <f>+F41-F40</f>
        <v>8527</v>
      </c>
      <c r="H41" s="52"/>
      <c r="I41" s="68">
        <v>29</v>
      </c>
      <c r="J41" s="127">
        <v>20619</v>
      </c>
      <c r="K41" s="63">
        <f>+J41-J40</f>
        <v>6</v>
      </c>
      <c r="L41" s="55"/>
      <c r="M41" s="64">
        <v>29</v>
      </c>
      <c r="N41" s="127">
        <v>68</v>
      </c>
      <c r="O41" s="62">
        <f>+N40-N41</f>
        <v>7</v>
      </c>
      <c r="P41" s="65"/>
      <c r="Q41" s="66"/>
      <c r="R41" s="66"/>
    </row>
    <row r="42" spans="1:22" ht="14.25" customHeight="1">
      <c r="A42" s="58">
        <v>30</v>
      </c>
      <c r="B42" s="126">
        <v>5080503</v>
      </c>
      <c r="C42" s="126">
        <v>1105230</v>
      </c>
      <c r="D42" s="126">
        <v>2278341</v>
      </c>
      <c r="E42" s="126">
        <v>350189</v>
      </c>
      <c r="F42" s="60">
        <f t="shared" si="0"/>
        <v>8814263</v>
      </c>
      <c r="G42" s="78">
        <f t="shared" si="4"/>
        <v>10234</v>
      </c>
      <c r="H42" s="79"/>
      <c r="I42" s="58">
        <v>30</v>
      </c>
      <c r="J42" s="129">
        <v>20624</v>
      </c>
      <c r="K42" s="63">
        <f t="shared" si="6"/>
        <v>5</v>
      </c>
      <c r="L42" s="81"/>
      <c r="M42" s="82">
        <v>30</v>
      </c>
      <c r="N42" s="129">
        <v>60</v>
      </c>
      <c r="O42" s="80">
        <f>+N41-N42</f>
        <v>8</v>
      </c>
      <c r="P42" s="83"/>
    </row>
    <row r="43" spans="1:22" ht="14.25" customHeight="1" thickBot="1">
      <c r="A43" s="84"/>
      <c r="B43" s="85"/>
      <c r="C43" s="85"/>
      <c r="D43" s="85"/>
      <c r="E43" s="85"/>
      <c r="F43" s="86">
        <f t="shared" si="0"/>
        <v>0</v>
      </c>
      <c r="G43" s="87"/>
      <c r="H43" s="52"/>
      <c r="I43" s="84"/>
      <c r="J43" s="88"/>
      <c r="K43" s="89"/>
      <c r="L43" s="55"/>
      <c r="M43" s="90"/>
      <c r="N43" s="88"/>
      <c r="O43" s="91"/>
      <c r="P43" s="92"/>
      <c r="Q43" s="66"/>
      <c r="R43" s="66"/>
    </row>
    <row r="44" spans="1:22" ht="14.25" customHeight="1">
      <c r="A44" s="93"/>
      <c r="B44" s="94"/>
      <c r="C44" s="94"/>
      <c r="D44" s="94"/>
      <c r="E44" s="94"/>
      <c r="F44" s="95"/>
      <c r="G44" s="96"/>
      <c r="H44" s="52"/>
      <c r="I44" s="93"/>
      <c r="J44" s="55"/>
      <c r="K44" s="55"/>
      <c r="L44" s="55"/>
      <c r="M44" s="97"/>
      <c r="N44" s="55"/>
      <c r="O44" s="98">
        <f>SUM(O13:O43)</f>
        <v>203</v>
      </c>
      <c r="P44" s="99">
        <f>SUM(P13:P43)</f>
        <v>221</v>
      </c>
      <c r="Q44" s="66"/>
      <c r="R44" s="66"/>
    </row>
    <row r="45" spans="1:22" ht="14.25" customHeight="1" thickBot="1">
      <c r="A45" s="93"/>
      <c r="B45" s="94"/>
      <c r="C45" s="94"/>
      <c r="F45" s="52"/>
      <c r="G45" s="95"/>
      <c r="H45" s="52"/>
      <c r="K45" s="100"/>
      <c r="L45" s="55"/>
      <c r="O45" s="55"/>
      <c r="P45" s="99"/>
      <c r="Q45" s="66"/>
      <c r="R45" s="66"/>
    </row>
    <row r="46" spans="1:22" ht="13.5" thickBot="1">
      <c r="B46" s="139" t="s">
        <v>35</v>
      </c>
      <c r="C46" s="140"/>
      <c r="D46" s="101">
        <f>SUM(G13:G43)</f>
        <v>276393</v>
      </c>
      <c r="G46" s="66"/>
      <c r="I46" s="102" t="s">
        <v>36</v>
      </c>
      <c r="J46" s="103"/>
      <c r="K46" s="104">
        <f>SUM(K13:K43)</f>
        <v>1112</v>
      </c>
      <c r="N46" s="102" t="s">
        <v>37</v>
      </c>
      <c r="O46" s="105">
        <v>3000</v>
      </c>
      <c r="P46" s="106">
        <f>O46*0.7</f>
        <v>2100</v>
      </c>
      <c r="Q46" s="107" t="s">
        <v>33</v>
      </c>
    </row>
    <row r="47" spans="1:22" ht="13.5" thickBot="1">
      <c r="B47" s="141" t="s">
        <v>38</v>
      </c>
      <c r="C47" s="142"/>
      <c r="D47" s="108">
        <f>D46*0.22</f>
        <v>60806.46</v>
      </c>
      <c r="F47" s="72"/>
      <c r="I47" s="109" t="s">
        <v>39</v>
      </c>
      <c r="J47" s="110"/>
      <c r="K47" s="111">
        <f>K46*8.6</f>
        <v>9563.1999999999989</v>
      </c>
      <c r="N47" s="109" t="s">
        <v>40</v>
      </c>
      <c r="O47" s="112">
        <f>O44*50</f>
        <v>10150</v>
      </c>
      <c r="P47" s="113">
        <f>O47*0.7</f>
        <v>7105</v>
      </c>
      <c r="Q47" s="114" t="s">
        <v>33</v>
      </c>
    </row>
    <row r="48" spans="1:22" ht="13.5" thickBot="1">
      <c r="I48" s="115" t="s">
        <v>41</v>
      </c>
      <c r="J48" s="116"/>
      <c r="K48" s="117">
        <f>K47*0.2</f>
        <v>1912.6399999999999</v>
      </c>
      <c r="N48" s="118" t="s">
        <v>42</v>
      </c>
      <c r="O48" s="119">
        <v>7106</v>
      </c>
      <c r="P48" s="120">
        <f>O48*0.7</f>
        <v>4974.2</v>
      </c>
      <c r="Q48" s="121" t="s">
        <v>33</v>
      </c>
    </row>
    <row r="49" spans="2:17" ht="13.5" thickBot="1">
      <c r="B49" s="72"/>
      <c r="C49" s="72"/>
      <c r="D49" s="72"/>
      <c r="E49" s="72"/>
      <c r="I49" s="122" t="s">
        <v>38</v>
      </c>
      <c r="J49" s="123"/>
      <c r="K49" s="108">
        <f>SUM(K47:K48)</f>
        <v>11475.839999999998</v>
      </c>
      <c r="N49" s="66"/>
      <c r="O49" s="124"/>
      <c r="P49" s="124"/>
      <c r="Q49" s="66"/>
    </row>
    <row r="50" spans="2:17">
      <c r="E50" s="72"/>
    </row>
    <row r="51" spans="2:17">
      <c r="D51" s="72"/>
      <c r="E51" s="72"/>
    </row>
    <row r="52" spans="2:17">
      <c r="E52" s="72"/>
    </row>
    <row r="53" spans="2:17">
      <c r="E53" s="72"/>
      <c r="J53" s="72"/>
    </row>
    <row r="54" spans="2:17">
      <c r="E54" s="72"/>
    </row>
    <row r="55" spans="2:17">
      <c r="E55" s="72"/>
    </row>
  </sheetData>
  <mergeCells count="10">
    <mergeCell ref="B46:C46"/>
    <mergeCell ref="B47:C47"/>
    <mergeCell ref="A9:F9"/>
    <mergeCell ref="I9:K9"/>
    <mergeCell ref="M9:O9"/>
    <mergeCell ref="R9:S9"/>
    <mergeCell ref="B10:F10"/>
    <mergeCell ref="I10:K10"/>
    <mergeCell ref="M10:O10"/>
    <mergeCell ref="M12:P1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April25</vt:lpstr>
    </vt:vector>
  </TitlesOfParts>
  <Manager/>
  <Company>Rotana Hotels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T.Elserougi</dc:creator>
  <cp:keywords/>
  <dc:description/>
  <cp:lastModifiedBy>Khurshid Alam</cp:lastModifiedBy>
  <cp:lastPrinted>2025-04-04T08:24:47Z</cp:lastPrinted>
  <dcterms:created xsi:type="dcterms:W3CDTF">2006-04-11T08:27:10Z</dcterms:created>
  <dcterms:modified xsi:type="dcterms:W3CDTF">2025-05-24T19:23:21Z</dcterms:modified>
  <cp:category/>
</cp:coreProperties>
</file>