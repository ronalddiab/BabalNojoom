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4/"/>
    </mc:Choice>
  </mc:AlternateContent>
  <xr:revisionPtr revIDLastSave="600" documentId="8_{8847650D-614C-4264-8C87-30D8B5EB4252}" xr6:coauthVersionLast="47" xr6:coauthVersionMax="47" xr10:uidLastSave="{6D921AE8-9C8F-4C28-AA93-956AED1B0A65}"/>
  <bookViews>
    <workbookView xWindow="-120" yWindow="-120" windowWidth="29040" windowHeight="15720" activeTab="4" xr2:uid="{00000000-000D-0000-FFFF-FFFF00000000}"/>
  </bookViews>
  <sheets>
    <sheet name="Total" sheetId="2" r:id="rId1"/>
    <sheet name="Electricity" sheetId="3" r:id="rId2"/>
    <sheet name="LPG" sheetId="6" r:id="rId3"/>
    <sheet name="Water" sheetId="5" r:id="rId4"/>
    <sheet name="Occupied &amp; No. of Guest" sheetId="7" r:id="rId5"/>
  </sheets>
  <definedNames>
    <definedName name="_xlnm._FilterDatabase" localSheetId="2" hidden="1">LPG!$A$5:$N$5</definedName>
    <definedName name="_xlnm.Print_Area" localSheetId="2">LPG!$A$1:$M$40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5" l="1"/>
  <c r="T15" i="5"/>
  <c r="AF8" i="5"/>
  <c r="E6" i="3"/>
  <c r="N16" i="6" l="1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H8" i="5"/>
  <c r="AG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O6" i="5"/>
  <c r="N6" i="5"/>
  <c r="L6" i="5"/>
  <c r="K6" i="5"/>
  <c r="J6" i="5"/>
  <c r="I6" i="5"/>
  <c r="H6" i="5"/>
  <c r="G6" i="5"/>
  <c r="F6" i="5"/>
  <c r="E6" i="5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AH15" i="5" l="1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M6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G15" i="5" l="1"/>
  <c r="AF15" i="5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M6" i="6"/>
  <c r="K6" i="6"/>
  <c r="I6" i="6"/>
  <c r="G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6" i="6"/>
  <c r="N34" i="6" l="1"/>
  <c r="G30" i="2" s="1"/>
  <c r="AF21" i="3"/>
  <c r="AG21" i="3"/>
  <c r="AH21" i="3"/>
  <c r="N35" i="6" l="1"/>
  <c r="G31" i="2" s="1"/>
  <c r="N36" i="6"/>
  <c r="G32" i="2" s="1"/>
  <c r="N12" i="6" l="1"/>
  <c r="G8" i="2" s="1"/>
  <c r="N24" i="6"/>
  <c r="G20" i="2" s="1"/>
  <c r="N13" i="6" l="1"/>
  <c r="G9" i="2" s="1"/>
  <c r="N25" i="6"/>
  <c r="G21" i="2" s="1"/>
  <c r="N31" i="6"/>
  <c r="G27" i="2" s="1"/>
  <c r="N7" i="6"/>
  <c r="G3" i="2" s="1"/>
  <c r="N19" i="6"/>
  <c r="G15" i="2" s="1"/>
  <c r="N29" i="6"/>
  <c r="G25" i="2" s="1"/>
  <c r="N17" i="6"/>
  <c r="G13" i="2" s="1"/>
  <c r="G37" i="6"/>
  <c r="N26" i="6"/>
  <c r="G22" i="2" s="1"/>
  <c r="M37" i="6"/>
  <c r="N20" i="6"/>
  <c r="G16" i="2" s="1"/>
  <c r="K37" i="6"/>
  <c r="N23" i="6"/>
  <c r="G19" i="2" s="1"/>
  <c r="N30" i="6"/>
  <c r="G26" i="2" s="1"/>
  <c r="N18" i="6"/>
  <c r="G14" i="2" s="1"/>
  <c r="N21" i="6"/>
  <c r="G17" i="2" s="1"/>
  <c r="N11" i="6"/>
  <c r="G7" i="2" s="1"/>
  <c r="N8" i="6"/>
  <c r="G4" i="2" s="1"/>
  <c r="I37" i="6"/>
  <c r="N33" i="6"/>
  <c r="G29" i="2" s="1"/>
  <c r="N22" i="6"/>
  <c r="G18" i="2" s="1"/>
  <c r="N10" i="6"/>
  <c r="G6" i="2" s="1"/>
  <c r="N32" i="6"/>
  <c r="G28" i="2" s="1"/>
  <c r="N15" i="6"/>
  <c r="G11" i="2" s="1"/>
  <c r="N6" i="6"/>
  <c r="G2" i="2" s="1"/>
  <c r="G12" i="2"/>
  <c r="N28" i="6"/>
  <c r="G24" i="2" s="1"/>
  <c r="E37" i="6"/>
  <c r="N14" i="6"/>
  <c r="G10" i="2" s="1"/>
  <c r="N9" i="6"/>
  <c r="G5" i="2" s="1"/>
  <c r="N27" i="6"/>
  <c r="G23" i="2" s="1"/>
  <c r="C37" i="6"/>
  <c r="C39" i="6" s="1"/>
  <c r="C40" i="6" l="1"/>
  <c r="C41" i="6" s="1"/>
  <c r="AI15" i="5"/>
  <c r="AE15" i="5"/>
  <c r="AD15" i="5"/>
  <c r="AC15" i="5"/>
  <c r="AB15" i="5"/>
  <c r="AA15" i="5"/>
  <c r="Z15" i="5"/>
  <c r="Y15" i="5"/>
  <c r="X15" i="5"/>
  <c r="W15" i="5"/>
  <c r="V15" i="5"/>
  <c r="U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<sst xmlns="http://schemas.openxmlformats.org/spreadsheetml/2006/main" count="134" uniqueCount="98">
  <si>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</si>
  <si>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</si>
  <si>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</si>
  <si>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</si>
  <si>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</si>
  <si>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</si>
  <si>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</si>
  <si>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</si>
  <si>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</si>
  <si>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</si>
  <si>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</si>
  <si>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</si>
  <si>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</si>
  <si>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</si>
  <si>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</si>
  <si>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</si>
  <si>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</si>
  <si>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</si>
  <si>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</si>
  <si>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</si>
  <si>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</si>
  <si>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</si>
  <si>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</si>
  <si>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</si>
  <si>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</si>
  <si>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</si>
  <si>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</si>
  <si>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</si>
  <si>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</si>
  <si>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</si>
  <si>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</si>
  <si>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</si>
  <si>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</si>
  <si>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</si>
  <si>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</si>
  <si>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</si>
  <si>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</si>
  <si>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</si>
  <si>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</si>
  <si>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</si>
  <si>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</si>
  <si>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</si>
  <si>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</si>
  <si>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</si>
  <si>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</si>
  <si>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</si>
  <si>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</si>
  <si>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</si>
  <si>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</si>
  <si>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</si>
  <si>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</si>
  <si>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</si>
  <si>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</si>
  <si>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</si>
  <si>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</si>
  <si>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</si>
  <si>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</si>
  <si>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</si>
  <si>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</si>
  <si>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</si>
  <si>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</si>
  <si>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</si>
  <si>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</si>
  <si>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</si>
  <si>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</si>
  <si>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</si>
  <si>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</si>
  <si>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</si>
  <si>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</si>
  <si>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</si>
  <si>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</si>
  <si>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</si>
  <si>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</si>
  <si>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</si>
  <si>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</si>
  <si>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>BOILER 1 &amp; 2</t>
  </si>
  <si>
    <t>MAIN KITCHEN</t>
  </si>
  <si>
    <t>PASTRY KITCHEN</t>
  </si>
  <si>
    <t>GINGER KITCHEN</t>
  </si>
  <si>
    <t>TEATRO</t>
  </si>
  <si>
    <t>COOPER'S KITCHEN</t>
  </si>
  <si>
    <t>PRESSURE        (mBar)</t>
  </si>
  <si>
    <t xml:space="preserve">                                       </t>
  </si>
  <si>
    <t>TOTAL Consumption</t>
  </si>
  <si>
    <t>TOTAL BOILER</t>
  </si>
  <si>
    <t>TOTAL KITCHEN</t>
  </si>
  <si>
    <t>TOTAL Boiler &amp; Kitchen</t>
  </si>
  <si>
    <t>Daily Consumption</t>
  </si>
  <si>
    <t>29</t>
  </si>
  <si>
    <t>30</t>
  </si>
  <si>
    <t>Occupied</t>
  </si>
  <si>
    <t># Guest</t>
  </si>
  <si>
    <t>Date</t>
  </si>
  <si>
    <t>TOTAL MTD</t>
  </si>
  <si>
    <t>DAILY ELECTRICITY METER READINGS &amp; CONSUMPTION APRIL 2024</t>
  </si>
  <si>
    <t>DAILY GAS METER READINGS &amp; CONSUMPTION (Liters) APRIL 2024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</si>
  <si>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APRIL  2024</t>
    </r>
  </si>
  <si>
    <t>Occupied Room &amp; Number of Guest -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</si>
</sst>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1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164" fontId="2" fillId="0" borderId="0" xfId="0" applyNumberFormat="1" applyFont="1"/>
    <xf numFmtId="3" fontId="0" fillId="13" borderId="0" xfId="0" applyNumberFormat="1" applyFill="1" applyAlignment="1">
      <alignment horizontal="center" vertical="center" wrapText="1"/>
    </xf>
    <xf numFmtId="3" fontId="0" fillId="13" borderId="0" xfId="0" applyNumberFormat="1" applyFill="1" applyAlignment="1">
      <alignment horizontal="center" vertical="center"/>
    </xf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9" fillId="0" borderId="10" xfId="0" applyNumberFormat="1" applyFont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1" fontId="27" fillId="13" borderId="0" xfId="0" applyNumberFormat="1" applyFont="1" applyFill="1" applyAlignment="1">
      <alignment horizontal="center" vertical="center" wrapText="1"/>
    </xf>
    <xf numFmtId="0" fontId="27" fillId="13" borderId="0" xfId="0" applyFont="1" applyFill="1" applyAlignment="1">
      <alignment horizontal="center" vertical="center" wrapText="1"/>
    </xf>
    <xf numFmtId="0" fontId="9" fillId="12" borderId="20" xfId="0" applyFont="1" applyFill="1" applyBorder="1" applyAlignment="1">
      <alignment horizontal="center" vertical="center" wrapText="1"/>
    </xf>
    <xf numFmtId="0" fontId="9" fillId="12" borderId="2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" fontId="2" fillId="9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workbookViewId="0">
      <selection activeCell="G12" sqref="G1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4</v>
      </c>
      <c r="D2" s="10">
        <v>2024</v>
      </c>
      <c r="E2" s="4" cm="1">
        <f t="array" ref="E2:E32">TRANSPOSE(Electricity!E21:AI21)</f>
        <v>29235.4</v>
      </c>
      <c r="F2" s="11">
        <v>0.2</v>
      </c>
      <c r="G2" s="4">
        <f>LPG!N6</f>
        <v>2948.381999999976</v>
      </c>
      <c r="H2" s="11">
        <v>1.66</v>
      </c>
      <c r="I2" s="4" cm="1">
        <f t="array" ref="I2:I32">TRANSPOSE(Water!E15:AI15)</f>
        <v>272.13900000000029</v>
      </c>
      <c r="J2" s="11">
        <v>7.84</v>
      </c>
      <c r="K2" s="4">
        <f>'Occupied &amp; No. of Guest'!B3</f>
        <v>293</v>
      </c>
      <c r="L2" s="4">
        <f>'Occupied &amp; No. of Guest'!C3</f>
        <v>415</v>
      </c>
    </row>
    <row r="3" spans="1:12" x14ac:dyDescent="0.25">
      <c r="A3" s="9" t="s">
        <v>52</v>
      </c>
      <c r="B3" s="10">
        <f>B2+1</f>
        <v>2</v>
      </c>
      <c r="C3" s="10">
        <v>4</v>
      </c>
      <c r="D3" s="10">
        <v>2024</v>
      </c>
      <c r="E3" s="4">
        <v>26099.200000000001</v>
      </c>
      <c r="F3" s="11">
        <v>0.2</v>
      </c>
      <c r="G3" s="4">
        <f>LPG!N7</f>
        <v>3297.9949999999849</v>
      </c>
      <c r="H3" s="11">
        <v>1.66</v>
      </c>
      <c r="I3" s="4">
        <v>278.09099999999478</v>
      </c>
      <c r="J3" s="11">
        <v>7.84</v>
      </c>
      <c r="K3" s="4">
        <f>'Occupied &amp; No. of Guest'!B4</f>
        <v>318</v>
      </c>
      <c r="L3" s="4">
        <f>'Occupied &amp; No. of Guest'!C4</f>
        <v>451</v>
      </c>
    </row>
    <row r="4" spans="1:12" x14ac:dyDescent="0.25">
      <c r="A4" s="9" t="s">
        <v>52</v>
      </c>
      <c r="B4" s="10">
        <f t="shared" ref="B4:B32" si="0">B3+1</f>
        <v>3</v>
      </c>
      <c r="C4" s="10">
        <v>4</v>
      </c>
      <c r="D4" s="10">
        <v>2024</v>
      </c>
      <c r="E4" s="4">
        <v>32685.800000000003</v>
      </c>
      <c r="F4" s="11">
        <v>0.2</v>
      </c>
      <c r="G4" s="4">
        <f>LPG!N8</f>
        <v>3025.379000000029</v>
      </c>
      <c r="H4" s="11">
        <v>1.66</v>
      </c>
      <c r="I4" s="4">
        <v>288.84699999999464</v>
      </c>
      <c r="J4" s="11">
        <v>7.84</v>
      </c>
      <c r="K4" s="4">
        <f>'Occupied &amp; No. of Guest'!B5</f>
        <v>291</v>
      </c>
      <c r="L4" s="4">
        <f>'Occupied &amp; No. of Guest'!C5</f>
        <v>419</v>
      </c>
    </row>
    <row r="5" spans="1:12" x14ac:dyDescent="0.25">
      <c r="A5" s="9" t="s">
        <v>52</v>
      </c>
      <c r="B5" s="10">
        <f t="shared" si="0"/>
        <v>4</v>
      </c>
      <c r="C5" s="10">
        <v>4</v>
      </c>
      <c r="D5" s="10">
        <v>2024</v>
      </c>
      <c r="E5" s="4">
        <v>30553.800000000003</v>
      </c>
      <c r="F5" s="11">
        <v>0.2</v>
      </c>
      <c r="G5" s="4">
        <f>LPG!N9</f>
        <v>3618.3410000000249</v>
      </c>
      <c r="H5" s="11">
        <v>1.66</v>
      </c>
      <c r="I5" s="4">
        <v>293.01499999998975</v>
      </c>
      <c r="J5" s="11">
        <v>7.84</v>
      </c>
      <c r="K5" s="4">
        <f>'Occupied &amp; No. of Guest'!B6</f>
        <v>275</v>
      </c>
      <c r="L5" s="4">
        <f>'Occupied &amp; No. of Guest'!C6</f>
        <v>402</v>
      </c>
    </row>
    <row r="6" spans="1:12" x14ac:dyDescent="0.25">
      <c r="A6" s="9" t="s">
        <v>52</v>
      </c>
      <c r="B6" s="10">
        <f t="shared" si="0"/>
        <v>5</v>
      </c>
      <c r="C6" s="10">
        <v>4</v>
      </c>
      <c r="D6" s="10">
        <v>2024</v>
      </c>
      <c r="E6" s="4">
        <v>29971.200000000001</v>
      </c>
      <c r="F6" s="11">
        <v>0.2</v>
      </c>
      <c r="G6" s="4">
        <f>LPG!N10</f>
        <v>2382.2079999999901</v>
      </c>
      <c r="H6" s="11">
        <v>1.66</v>
      </c>
      <c r="I6" s="4">
        <v>293.63600000000514</v>
      </c>
      <c r="J6" s="11">
        <v>7.84</v>
      </c>
      <c r="K6" s="4">
        <f>'Occupied &amp; No. of Guest'!B7</f>
        <v>236</v>
      </c>
      <c r="L6" s="4">
        <f>'Occupied &amp; No. of Guest'!C7</f>
        <v>359</v>
      </c>
    </row>
    <row r="7" spans="1:12" x14ac:dyDescent="0.25">
      <c r="A7" s="9" t="s">
        <v>52</v>
      </c>
      <c r="B7" s="10">
        <f t="shared" si="0"/>
        <v>6</v>
      </c>
      <c r="C7" s="10">
        <v>4</v>
      </c>
      <c r="D7" s="10">
        <v>2024</v>
      </c>
      <c r="E7" s="4">
        <v>30115</v>
      </c>
      <c r="F7" s="11">
        <v>0.2</v>
      </c>
      <c r="G7" s="4">
        <f>LPG!N11</f>
        <v>2799.3829999999748</v>
      </c>
      <c r="H7" s="11">
        <v>1.66</v>
      </c>
      <c r="I7" s="4">
        <v>262.36900000000526</v>
      </c>
      <c r="J7" s="11">
        <v>7.84</v>
      </c>
      <c r="K7" s="4">
        <f>'Occupied &amp; No. of Guest'!B8</f>
        <v>223</v>
      </c>
      <c r="L7" s="4">
        <f>'Occupied &amp; No. of Guest'!C8</f>
        <v>349</v>
      </c>
    </row>
    <row r="8" spans="1:12" x14ac:dyDescent="0.25">
      <c r="A8" s="9" t="s">
        <v>52</v>
      </c>
      <c r="B8" s="10">
        <f t="shared" si="0"/>
        <v>7</v>
      </c>
      <c r="C8" s="10">
        <v>4</v>
      </c>
      <c r="D8" s="10">
        <v>2024</v>
      </c>
      <c r="E8" s="4">
        <v>29121</v>
      </c>
      <c r="F8" s="11">
        <v>0.2</v>
      </c>
      <c r="G8" s="4">
        <f>LPG!N12</f>
        <v>2916.2290000000221</v>
      </c>
      <c r="H8" s="11">
        <v>1.66</v>
      </c>
      <c r="I8" s="4">
        <v>288.87199999999984</v>
      </c>
      <c r="J8" s="11">
        <v>7.84</v>
      </c>
      <c r="K8" s="4">
        <f>'Occupied &amp; No. of Guest'!B9</f>
        <v>220</v>
      </c>
      <c r="L8" s="4">
        <f>'Occupied &amp; No. of Guest'!C9</f>
        <v>331</v>
      </c>
    </row>
    <row r="9" spans="1:12" x14ac:dyDescent="0.25">
      <c r="A9" s="9" t="s">
        <v>52</v>
      </c>
      <c r="B9" s="10">
        <f t="shared" si="0"/>
        <v>8</v>
      </c>
      <c r="C9" s="10">
        <v>4</v>
      </c>
      <c r="D9" s="10">
        <v>2024</v>
      </c>
      <c r="E9" s="4">
        <v>29099</v>
      </c>
      <c r="F9" s="11">
        <v>0.2</v>
      </c>
      <c r="G9" s="4">
        <f>LPG!N13</f>
        <v>2672.9909999999609</v>
      </c>
      <c r="H9" s="11">
        <v>1.66</v>
      </c>
      <c r="I9" s="4">
        <v>253.82299999999992</v>
      </c>
      <c r="J9" s="11">
        <v>7.84</v>
      </c>
      <c r="K9" s="4">
        <f>'Occupied &amp; No. of Guest'!B10</f>
        <v>259</v>
      </c>
      <c r="L9" s="4">
        <f>'Occupied &amp; No. of Guest'!C10</f>
        <v>403</v>
      </c>
    </row>
    <row r="10" spans="1:12" x14ac:dyDescent="0.25">
      <c r="A10" s="9" t="s">
        <v>52</v>
      </c>
      <c r="B10" s="10">
        <f t="shared" si="0"/>
        <v>9</v>
      </c>
      <c r="C10" s="10">
        <v>4</v>
      </c>
      <c r="D10" s="10">
        <v>2024</v>
      </c>
      <c r="E10" s="4">
        <v>31965.200000000001</v>
      </c>
      <c r="F10" s="11">
        <v>0.2</v>
      </c>
      <c r="G10" s="4">
        <f>LPG!N14</f>
        <v>2641.8370000000482</v>
      </c>
      <c r="H10" s="11">
        <v>1.66</v>
      </c>
      <c r="I10" s="4">
        <v>321.97300000001081</v>
      </c>
      <c r="J10" s="11">
        <v>7.84</v>
      </c>
      <c r="K10" s="4">
        <f>'Occupied &amp; No. of Guest'!B11</f>
        <v>291</v>
      </c>
      <c r="L10" s="4">
        <f>'Occupied &amp; No. of Guest'!C11</f>
        <v>505</v>
      </c>
    </row>
    <row r="11" spans="1:12" x14ac:dyDescent="0.25">
      <c r="A11" s="9" t="s">
        <v>52</v>
      </c>
      <c r="B11" s="10">
        <f t="shared" si="0"/>
        <v>10</v>
      </c>
      <c r="C11" s="10">
        <v>4</v>
      </c>
      <c r="D11" s="10">
        <v>2024</v>
      </c>
      <c r="E11" s="4">
        <v>32277.200000000001</v>
      </c>
      <c r="F11" s="11">
        <v>0.2</v>
      </c>
      <c r="G11" s="4">
        <f>LPG!N15</f>
        <v>2854.3649999999557</v>
      </c>
      <c r="H11" s="11">
        <v>1.66</v>
      </c>
      <c r="I11" s="4">
        <v>297.47899999998413</v>
      </c>
      <c r="J11" s="11">
        <v>7.84</v>
      </c>
      <c r="K11" s="4">
        <f>'Occupied &amp; No. of Guest'!B12</f>
        <v>352</v>
      </c>
      <c r="L11" s="4">
        <f>'Occupied &amp; No. of Guest'!C12</f>
        <v>642</v>
      </c>
    </row>
    <row r="12" spans="1:12" x14ac:dyDescent="0.25">
      <c r="A12" s="9" t="s">
        <v>52</v>
      </c>
      <c r="B12" s="10">
        <f t="shared" si="0"/>
        <v>11</v>
      </c>
      <c r="C12" s="10">
        <v>4</v>
      </c>
      <c r="D12" s="10">
        <v>2024</v>
      </c>
      <c r="E12" s="4">
        <v>34984.6</v>
      </c>
      <c r="F12" s="11">
        <v>0.2</v>
      </c>
      <c r="G12" s="4">
        <f>LPG!N16</f>
        <v>0.18499999999899047</v>
      </c>
      <c r="H12" s="11">
        <v>1.66</v>
      </c>
      <c r="I12" s="4">
        <v>378.61899999999463</v>
      </c>
      <c r="J12" s="11">
        <v>7.84</v>
      </c>
      <c r="K12" s="4">
        <f>'Occupied &amp; No. of Guest'!B13</f>
        <v>462</v>
      </c>
      <c r="L12" s="4">
        <f>'Occupied &amp; No. of Guest'!C13</f>
        <v>887</v>
      </c>
    </row>
    <row r="13" spans="1:12" x14ac:dyDescent="0.25">
      <c r="A13" s="9" t="s">
        <v>52</v>
      </c>
      <c r="B13" s="10">
        <f t="shared" si="0"/>
        <v>12</v>
      </c>
      <c r="C13" s="10">
        <v>4</v>
      </c>
      <c r="D13" s="10">
        <v>2024</v>
      </c>
      <c r="E13" s="4">
        <v>36731</v>
      </c>
      <c r="F13" s="11">
        <v>0.2</v>
      </c>
      <c r="G13" s="4">
        <f>LPG!N17</f>
        <v>5431.1560000000745</v>
      </c>
      <c r="H13" s="11">
        <v>1.66</v>
      </c>
      <c r="I13" s="4">
        <v>420.00000000000517</v>
      </c>
      <c r="J13" s="11">
        <v>7.84</v>
      </c>
      <c r="K13" s="4">
        <f>'Occupied &amp; No. of Guest'!B14</f>
        <v>439</v>
      </c>
      <c r="L13" s="4">
        <f>'Occupied &amp; No. of Guest'!C14</f>
        <v>802</v>
      </c>
    </row>
    <row r="14" spans="1:12" x14ac:dyDescent="0.25">
      <c r="A14" s="9" t="s">
        <v>52</v>
      </c>
      <c r="B14" s="10">
        <f t="shared" si="0"/>
        <v>13</v>
      </c>
      <c r="C14" s="10">
        <v>4</v>
      </c>
      <c r="D14" s="10">
        <v>2024</v>
      </c>
      <c r="E14" s="4">
        <v>35024</v>
      </c>
      <c r="F14" s="11">
        <v>0.2</v>
      </c>
      <c r="G14" s="4">
        <f>LPG!N18</f>
        <v>3287.486999999931</v>
      </c>
      <c r="H14" s="11">
        <v>1.66</v>
      </c>
      <c r="I14" s="4">
        <v>394.50299999999504</v>
      </c>
      <c r="J14" s="11">
        <v>7.84</v>
      </c>
      <c r="K14" s="4">
        <f>'Occupied &amp; No. of Guest'!B15</f>
        <v>422</v>
      </c>
      <c r="L14" s="4">
        <f>'Occupied &amp; No. of Guest'!C15</f>
        <v>684</v>
      </c>
    </row>
    <row r="15" spans="1:12" x14ac:dyDescent="0.25">
      <c r="A15" s="9" t="s">
        <v>52</v>
      </c>
      <c r="B15" s="10">
        <f t="shared" si="0"/>
        <v>14</v>
      </c>
      <c r="C15" s="10">
        <v>4</v>
      </c>
      <c r="D15" s="10">
        <v>2024</v>
      </c>
      <c r="E15" s="4">
        <v>34330.199999999997</v>
      </c>
      <c r="F15" s="11">
        <v>0.2</v>
      </c>
      <c r="G15" s="4">
        <f>LPG!N19</f>
        <v>3400.8920000000044</v>
      </c>
      <c r="H15" s="11">
        <v>1.66</v>
      </c>
      <c r="I15" s="4">
        <v>372.66100000000489</v>
      </c>
      <c r="J15" s="11">
        <v>7.84</v>
      </c>
      <c r="K15" s="4">
        <f>'Occupied &amp; No. of Guest'!B16</f>
        <v>336</v>
      </c>
      <c r="L15" s="4">
        <f>'Occupied &amp; No. of Guest'!C16</f>
        <v>509</v>
      </c>
    </row>
    <row r="16" spans="1:12" x14ac:dyDescent="0.25">
      <c r="A16" s="9" t="s">
        <v>52</v>
      </c>
      <c r="B16" s="10">
        <f t="shared" si="0"/>
        <v>15</v>
      </c>
      <c r="C16" s="10">
        <v>4</v>
      </c>
      <c r="D16" s="10">
        <v>2024</v>
      </c>
      <c r="E16" s="4">
        <v>34546.400000000001</v>
      </c>
      <c r="F16" s="11">
        <v>0.2</v>
      </c>
      <c r="G16" s="4">
        <f>LPG!N20</f>
        <v>2821.6570000000424</v>
      </c>
      <c r="H16" s="11">
        <v>1.66</v>
      </c>
      <c r="I16" s="4">
        <v>330.98600000000545</v>
      </c>
      <c r="J16" s="11">
        <v>7.84</v>
      </c>
      <c r="K16" s="4">
        <f>'Occupied &amp; No. of Guest'!B17</f>
        <v>432</v>
      </c>
      <c r="L16" s="4">
        <f>'Occupied &amp; No. of Guest'!C17</f>
        <v>533</v>
      </c>
    </row>
    <row r="17" spans="1:12" x14ac:dyDescent="0.25">
      <c r="A17" s="9" t="s">
        <v>52</v>
      </c>
      <c r="B17" s="10">
        <f t="shared" si="0"/>
        <v>16</v>
      </c>
      <c r="C17" s="10">
        <v>4</v>
      </c>
      <c r="D17" s="10">
        <v>2024</v>
      </c>
      <c r="E17" s="4">
        <v>32155.599999999999</v>
      </c>
      <c r="F17" s="11">
        <v>0.2</v>
      </c>
      <c r="G17" s="4">
        <f>LPG!N21</f>
        <v>4137.2289999999884</v>
      </c>
      <c r="H17" s="11">
        <v>1.66</v>
      </c>
      <c r="I17" s="4">
        <v>311.62999999999977</v>
      </c>
      <c r="J17" s="11">
        <v>7.84</v>
      </c>
      <c r="K17" s="4">
        <f>'Occupied &amp; No. of Guest'!B18</f>
        <v>464</v>
      </c>
      <c r="L17" s="4">
        <f>'Occupied &amp; No. of Guest'!C18</f>
        <v>586</v>
      </c>
    </row>
    <row r="18" spans="1:12" x14ac:dyDescent="0.25">
      <c r="A18" s="9" t="s">
        <v>52</v>
      </c>
      <c r="B18" s="10">
        <f t="shared" si="0"/>
        <v>17</v>
      </c>
      <c r="C18" s="10">
        <v>4</v>
      </c>
      <c r="D18" s="10">
        <v>2024</v>
      </c>
      <c r="E18" s="4">
        <v>32725.200000000001</v>
      </c>
      <c r="F18" s="11">
        <v>0.2</v>
      </c>
      <c r="G18" s="4">
        <f>LPG!N22</f>
        <v>2818.0680000000179</v>
      </c>
      <c r="H18" s="11">
        <v>1.66</v>
      </c>
      <c r="I18" s="4">
        <v>311.9280000000054</v>
      </c>
      <c r="J18" s="11">
        <v>7.84</v>
      </c>
      <c r="K18" s="4">
        <f>'Occupied &amp; No. of Guest'!B19</f>
        <v>470</v>
      </c>
      <c r="L18" s="4">
        <f>'Occupied &amp; No. of Guest'!C19</f>
        <v>582</v>
      </c>
    </row>
    <row r="19" spans="1:12" x14ac:dyDescent="0.25">
      <c r="A19" s="9" t="s">
        <v>52</v>
      </c>
      <c r="B19" s="10">
        <f t="shared" si="0"/>
        <v>18</v>
      </c>
      <c r="C19" s="10">
        <v>4</v>
      </c>
      <c r="D19" s="10">
        <v>2024</v>
      </c>
      <c r="E19" s="4">
        <v>33287.800000000003</v>
      </c>
      <c r="F19" s="11">
        <v>0.2</v>
      </c>
      <c r="G19" s="4">
        <f>LPG!N23</f>
        <v>2590.9619999999841</v>
      </c>
      <c r="H19" s="11">
        <v>1.66</v>
      </c>
      <c r="I19" s="4">
        <v>299.78799999999512</v>
      </c>
      <c r="J19" s="11">
        <v>7.84</v>
      </c>
      <c r="K19" s="4">
        <f>'Occupied &amp; No. of Guest'!B20</f>
        <v>392</v>
      </c>
      <c r="L19" s="4">
        <f>'Occupied &amp; No. of Guest'!C20</f>
        <v>539</v>
      </c>
    </row>
    <row r="20" spans="1:12" x14ac:dyDescent="0.25">
      <c r="A20" s="9" t="s">
        <v>52</v>
      </c>
      <c r="B20" s="10">
        <f t="shared" si="0"/>
        <v>19</v>
      </c>
      <c r="C20" s="10">
        <v>4</v>
      </c>
      <c r="D20" s="10">
        <v>2024</v>
      </c>
      <c r="E20" s="4">
        <v>34474</v>
      </c>
      <c r="F20" s="11">
        <v>0.2</v>
      </c>
      <c r="G20" s="4">
        <f>LPG!N24</f>
        <v>2937.9849999999751</v>
      </c>
      <c r="H20" s="11">
        <v>1.66</v>
      </c>
      <c r="I20" s="4">
        <v>367.5750000000051</v>
      </c>
      <c r="J20" s="11">
        <v>7.84</v>
      </c>
      <c r="K20" s="4">
        <f>'Occupied &amp; No. of Guest'!B21</f>
        <v>390</v>
      </c>
      <c r="L20" s="4">
        <f>'Occupied &amp; No. of Guest'!C21</f>
        <v>605</v>
      </c>
    </row>
    <row r="21" spans="1:12" x14ac:dyDescent="0.25">
      <c r="A21" s="9" t="s">
        <v>52</v>
      </c>
      <c r="B21" s="10">
        <f t="shared" si="0"/>
        <v>20</v>
      </c>
      <c r="C21" s="10">
        <v>4</v>
      </c>
      <c r="D21" s="10">
        <v>2024</v>
      </c>
      <c r="E21" s="4">
        <v>34942.400000000001</v>
      </c>
      <c r="F21" s="11">
        <v>0.2</v>
      </c>
      <c r="G21" s="4">
        <f>LPG!N25</f>
        <v>3073.1830000000446</v>
      </c>
      <c r="H21" s="11">
        <v>1.66</v>
      </c>
      <c r="I21" s="4">
        <v>382.07499999999982</v>
      </c>
      <c r="J21" s="11">
        <v>7.84</v>
      </c>
      <c r="K21" s="4">
        <f>'Occupied &amp; No. of Guest'!B22</f>
        <v>358</v>
      </c>
      <c r="L21" s="4">
        <f>'Occupied &amp; No. of Guest'!C22</f>
        <v>517</v>
      </c>
    </row>
    <row r="22" spans="1:12" x14ac:dyDescent="0.25">
      <c r="A22" s="9" t="s">
        <v>52</v>
      </c>
      <c r="B22" s="10">
        <f t="shared" si="0"/>
        <v>21</v>
      </c>
      <c r="C22" s="10">
        <v>4</v>
      </c>
      <c r="D22" s="10">
        <v>2024</v>
      </c>
      <c r="E22" s="4">
        <v>35044.6</v>
      </c>
      <c r="F22" s="11">
        <v>0.2</v>
      </c>
      <c r="G22" s="4">
        <f>LPG!N26</f>
        <v>2874.3450000000212</v>
      </c>
      <c r="H22" s="11">
        <v>1.66</v>
      </c>
      <c r="I22" s="4">
        <v>375.55499999998455</v>
      </c>
      <c r="J22" s="11">
        <v>7.84</v>
      </c>
      <c r="K22" s="4">
        <f>'Occupied &amp; No. of Guest'!B23</f>
        <v>356</v>
      </c>
      <c r="L22" s="4">
        <f>'Occupied &amp; No. of Guest'!C23</f>
        <v>467</v>
      </c>
    </row>
    <row r="23" spans="1:12" x14ac:dyDescent="0.25">
      <c r="A23" s="9" t="s">
        <v>52</v>
      </c>
      <c r="B23" s="10">
        <f t="shared" si="0"/>
        <v>22</v>
      </c>
      <c r="C23" s="10">
        <v>4</v>
      </c>
      <c r="D23" s="10">
        <v>2024</v>
      </c>
      <c r="E23" s="4">
        <v>33976</v>
      </c>
      <c r="F23" s="11">
        <v>0.2</v>
      </c>
      <c r="G23" s="4">
        <f>LPG!N27</f>
        <v>2923.6289999999094</v>
      </c>
      <c r="H23" s="11">
        <v>1.66</v>
      </c>
      <c r="I23" s="4">
        <v>251.57800000001021</v>
      </c>
      <c r="J23" s="11">
        <v>7.84</v>
      </c>
      <c r="K23" s="4">
        <f>'Occupied &amp; No. of Guest'!B24</f>
        <v>471</v>
      </c>
      <c r="L23" s="4">
        <f>'Occupied &amp; No. of Guest'!C24</f>
        <v>628</v>
      </c>
    </row>
    <row r="24" spans="1:12" x14ac:dyDescent="0.25">
      <c r="A24" s="9" t="s">
        <v>52</v>
      </c>
      <c r="B24" s="10">
        <f t="shared" si="0"/>
        <v>23</v>
      </c>
      <c r="C24" s="10">
        <v>4</v>
      </c>
      <c r="D24" s="10">
        <v>2024</v>
      </c>
      <c r="E24" s="4">
        <v>35149.199999999997</v>
      </c>
      <c r="F24" s="11">
        <v>0.2</v>
      </c>
      <c r="G24" s="4">
        <f>LPG!N28</f>
        <v>3094.4950000000954</v>
      </c>
      <c r="H24" s="11">
        <v>1.66</v>
      </c>
      <c r="I24" s="4">
        <v>169.35599999999991</v>
      </c>
      <c r="J24" s="11">
        <v>7.84</v>
      </c>
      <c r="K24" s="4">
        <f>'Occupied &amp; No. of Guest'!B25</f>
        <v>471</v>
      </c>
      <c r="L24" s="4">
        <f>'Occupied &amp; No. of Guest'!C25</f>
        <v>601</v>
      </c>
    </row>
    <row r="25" spans="1:12" x14ac:dyDescent="0.25">
      <c r="A25" s="9" t="s">
        <v>52</v>
      </c>
      <c r="B25" s="10">
        <f t="shared" si="0"/>
        <v>24</v>
      </c>
      <c r="C25" s="10">
        <v>4</v>
      </c>
      <c r="D25" s="10">
        <v>2024</v>
      </c>
      <c r="E25" s="4">
        <v>35095.599999999999</v>
      </c>
      <c r="F25" s="11">
        <v>0.2</v>
      </c>
      <c r="G25" s="4">
        <f>LPG!N29</f>
        <v>2337.585999999947</v>
      </c>
      <c r="H25" s="11">
        <v>1.66</v>
      </c>
      <c r="I25" s="4">
        <v>162.42799999998942</v>
      </c>
      <c r="J25" s="11">
        <v>7.84</v>
      </c>
      <c r="K25" s="4">
        <f>'Occupied &amp; No. of Guest'!B26</f>
        <v>484</v>
      </c>
      <c r="L25" s="4">
        <f>'Occupied &amp; No. of Guest'!C26</f>
        <v>608</v>
      </c>
    </row>
    <row r="26" spans="1:12" x14ac:dyDescent="0.25">
      <c r="A26" s="9" t="s">
        <v>52</v>
      </c>
      <c r="B26" s="10">
        <f>B25+1</f>
        <v>25</v>
      </c>
      <c r="C26" s="10">
        <v>4</v>
      </c>
      <c r="D26" s="10">
        <v>2024</v>
      </c>
      <c r="E26" s="4">
        <v>35815.599999999999</v>
      </c>
      <c r="F26" s="11">
        <v>0.2</v>
      </c>
      <c r="G26" s="4">
        <f>LPG!N30</f>
        <v>2783.1066999998102</v>
      </c>
      <c r="H26" s="11">
        <v>1.66</v>
      </c>
      <c r="I26" s="4">
        <v>878.65200000000027</v>
      </c>
      <c r="J26" s="11">
        <v>7.84</v>
      </c>
      <c r="K26" s="4">
        <f>'Occupied &amp; No. of Guest'!B27</f>
        <v>458</v>
      </c>
      <c r="L26" s="4">
        <f>'Occupied &amp; No. of Guest'!C27</f>
        <v>573</v>
      </c>
    </row>
    <row r="27" spans="1:12" x14ac:dyDescent="0.25">
      <c r="A27" s="9" t="s">
        <v>52</v>
      </c>
      <c r="B27" s="10">
        <f t="shared" si="0"/>
        <v>26</v>
      </c>
      <c r="C27" s="10">
        <v>4</v>
      </c>
      <c r="D27" s="10">
        <v>2024</v>
      </c>
      <c r="E27" s="4">
        <v>36314.199999999997</v>
      </c>
      <c r="F27" s="11">
        <v>0.2</v>
      </c>
      <c r="G27" s="4">
        <f>LPG!N31</f>
        <v>2787.0213000001359</v>
      </c>
      <c r="H27" s="11">
        <v>1.66</v>
      </c>
      <c r="I27" s="4">
        <v>646.18799999999987</v>
      </c>
      <c r="J27" s="11">
        <v>7.84</v>
      </c>
      <c r="K27" s="4">
        <f>'Occupied &amp; No. of Guest'!B28</f>
        <v>460</v>
      </c>
      <c r="L27" s="4">
        <f>'Occupied &amp; No. of Guest'!C28</f>
        <v>597</v>
      </c>
    </row>
    <row r="28" spans="1:12" x14ac:dyDescent="0.25">
      <c r="A28" s="9" t="s">
        <v>52</v>
      </c>
      <c r="B28" s="10">
        <f t="shared" si="0"/>
        <v>27</v>
      </c>
      <c r="C28" s="10">
        <v>4</v>
      </c>
      <c r="D28" s="10">
        <v>2024</v>
      </c>
      <c r="E28" s="4">
        <v>37896.800000000003</v>
      </c>
      <c r="F28" s="11">
        <v>0.2</v>
      </c>
      <c r="G28" s="4">
        <f>LPG!N32</f>
        <v>2792.3159999999898</v>
      </c>
      <c r="H28" s="11">
        <v>1.66</v>
      </c>
      <c r="I28" s="4">
        <v>372.89499999999998</v>
      </c>
      <c r="J28" s="11">
        <v>7.84</v>
      </c>
      <c r="K28" s="4">
        <f>'Occupied &amp; No. of Guest'!B29</f>
        <v>473</v>
      </c>
      <c r="L28" s="4">
        <f>'Occupied &amp; No. of Guest'!C29</f>
        <v>629</v>
      </c>
    </row>
    <row r="29" spans="1:12" x14ac:dyDescent="0.25">
      <c r="A29" s="9" t="s">
        <v>52</v>
      </c>
      <c r="B29" s="10">
        <f t="shared" si="0"/>
        <v>28</v>
      </c>
      <c r="C29" s="10">
        <v>4</v>
      </c>
      <c r="D29" s="10">
        <v>2024</v>
      </c>
      <c r="E29" s="4">
        <v>37598</v>
      </c>
      <c r="F29" s="11">
        <v>0.2</v>
      </c>
      <c r="G29" s="4">
        <f>LPG!N33</f>
        <v>2762.8270000000712</v>
      </c>
      <c r="H29" s="11">
        <v>1.66</v>
      </c>
      <c r="I29" s="4">
        <v>410.75700000002081</v>
      </c>
      <c r="J29" s="11">
        <v>7.84</v>
      </c>
      <c r="K29" s="4">
        <f>'Occupied &amp; No. of Guest'!B30</f>
        <v>458</v>
      </c>
      <c r="L29" s="4">
        <f>'Occupied &amp; No. of Guest'!C30</f>
        <v>565</v>
      </c>
    </row>
    <row r="30" spans="1:12" x14ac:dyDescent="0.25">
      <c r="A30" s="9" t="s">
        <v>52</v>
      </c>
      <c r="B30" s="10">
        <f t="shared" si="0"/>
        <v>29</v>
      </c>
      <c r="C30" s="10">
        <v>4</v>
      </c>
      <c r="D30" s="10">
        <v>2024</v>
      </c>
      <c r="E30" s="4">
        <v>38255.599999999999</v>
      </c>
      <c r="F30" s="11">
        <v>0.2</v>
      </c>
      <c r="G30" s="4">
        <f>LPG!N34</f>
        <v>2690.3069999999675</v>
      </c>
      <c r="H30" s="11">
        <v>1.66</v>
      </c>
      <c r="I30" s="4">
        <v>365.11400000000037</v>
      </c>
      <c r="J30" s="11">
        <v>7.84</v>
      </c>
      <c r="K30" s="4">
        <f>'Occupied &amp; No. of Guest'!B31</f>
        <v>482</v>
      </c>
      <c r="L30" s="4">
        <f>'Occupied &amp; No. of Guest'!C31</f>
        <v>606</v>
      </c>
    </row>
    <row r="31" spans="1:12" x14ac:dyDescent="0.25">
      <c r="A31" s="9" t="s">
        <v>52</v>
      </c>
      <c r="B31" s="10">
        <f t="shared" si="0"/>
        <v>30</v>
      </c>
      <c r="C31" s="10">
        <v>4</v>
      </c>
      <c r="D31" s="10">
        <v>2024</v>
      </c>
      <c r="E31" s="4">
        <v>39337.4</v>
      </c>
      <c r="F31" s="11">
        <v>0.2</v>
      </c>
      <c r="G31" s="4">
        <f>LPG!N35</f>
        <v>2517.146999999964</v>
      </c>
      <c r="H31" s="11">
        <v>1.66</v>
      </c>
      <c r="I31" s="4">
        <v>178.66399999998913</v>
      </c>
      <c r="J31" s="11">
        <v>7.84</v>
      </c>
      <c r="K31" s="4">
        <f>'Occupied &amp; No. of Guest'!B32</f>
        <v>471</v>
      </c>
      <c r="L31" s="4">
        <f>'Occupied &amp; No. of Guest'!C32</f>
        <v>611</v>
      </c>
    </row>
    <row r="32" spans="1:12" x14ac:dyDescent="0.25">
      <c r="A32" s="9" t="s">
        <v>52</v>
      </c>
      <c r="B32" s="10">
        <f t="shared" si="0"/>
        <v>31</v>
      </c>
      <c r="C32" s="10">
        <v>4</v>
      </c>
      <c r="D32" s="10">
        <v>2024</v>
      </c>
      <c r="E32" s="4">
        <v>0</v>
      </c>
      <c r="F32" s="11">
        <v>0.2</v>
      </c>
      <c r="G32" s="4">
        <f>LPG!N36</f>
        <v>0</v>
      </c>
      <c r="H32" s="11">
        <v>1.66</v>
      </c>
      <c r="I32" s="4">
        <v>0</v>
      </c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12" activePane="bottomRight" state="frozen"/>
      <selection pane="topRight" activeCell="E1" sqref="E1"/>
      <selection pane="bottomLeft" activeCell="A5" sqref="A5"/>
      <selection pane="bottomRight" activeCell="G6" sqref="G6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81" t="s">
        <v>94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</row>
    <row r="3" spans="1:67" s="14" customFormat="1" ht="29.25" customHeight="1" thickBot="1" x14ac:dyDescent="0.3"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83">
        <v>1</v>
      </c>
      <c r="B5" s="20" t="s">
        <v>14</v>
      </c>
      <c r="C5" s="85" t="s">
        <v>15</v>
      </c>
      <c r="D5" s="21">
        <v>8757607</v>
      </c>
      <c r="E5" s="21">
        <v>8778130</v>
      </c>
      <c r="F5" s="21">
        <v>8795603</v>
      </c>
      <c r="G5" s="21">
        <v>8819255</v>
      </c>
      <c r="H5" s="21">
        <v>8840526</v>
      </c>
      <c r="I5" s="21">
        <v>8861242</v>
      </c>
      <c r="J5" s="21">
        <v>8881686</v>
      </c>
      <c r="K5" s="21">
        <v>8901608</v>
      </c>
      <c r="L5" s="21">
        <v>8921185</v>
      </c>
      <c r="M5" s="21">
        <v>8942488</v>
      </c>
      <c r="N5" s="21">
        <v>8963042</v>
      </c>
      <c r="O5" s="21">
        <v>8985018</v>
      </c>
      <c r="P5" s="21">
        <v>9007158</v>
      </c>
      <c r="Q5" s="21">
        <v>9028825</v>
      </c>
      <c r="R5" s="21">
        <v>9050613</v>
      </c>
      <c r="S5" s="21">
        <v>9072121</v>
      </c>
      <c r="T5" s="21">
        <v>9092864</v>
      </c>
      <c r="U5" s="21">
        <v>9113780</v>
      </c>
      <c r="V5" s="21">
        <v>9135607</v>
      </c>
      <c r="W5" s="21">
        <v>9157724</v>
      </c>
      <c r="X5" s="21">
        <v>9179585</v>
      </c>
      <c r="Y5" s="21">
        <v>9201364</v>
      </c>
      <c r="Z5" s="21">
        <v>9222820</v>
      </c>
      <c r="AA5" s="21">
        <v>9244761</v>
      </c>
      <c r="AB5" s="21">
        <v>9266414</v>
      </c>
      <c r="AC5" s="21">
        <v>9288888</v>
      </c>
      <c r="AD5" s="21">
        <v>9311110</v>
      </c>
      <c r="AE5" s="21">
        <v>9333908</v>
      </c>
      <c r="AF5" s="21">
        <v>9355897</v>
      </c>
      <c r="AG5" s="21">
        <v>9378640</v>
      </c>
      <c r="AH5" s="21">
        <v>9401020</v>
      </c>
      <c r="AI5" s="21"/>
    </row>
    <row r="6" spans="1:67" s="24" customFormat="1" ht="21.75" customHeight="1" thickBot="1" x14ac:dyDescent="0.25">
      <c r="A6" s="84"/>
      <c r="B6" s="22"/>
      <c r="C6" s="86"/>
      <c r="D6" s="23"/>
      <c r="E6" s="23">
        <f>E5-D5</f>
        <v>20523</v>
      </c>
      <c r="F6" s="23">
        <f t="shared" ref="E6:AH6" si="0">F5-E5</f>
        <v>17473</v>
      </c>
      <c r="G6" s="23">
        <f t="shared" si="0"/>
        <v>23652</v>
      </c>
      <c r="H6" s="23">
        <f t="shared" si="0"/>
        <v>21271</v>
      </c>
      <c r="I6" s="23">
        <f t="shared" si="0"/>
        <v>20716</v>
      </c>
      <c r="J6" s="23">
        <f t="shared" si="0"/>
        <v>20444</v>
      </c>
      <c r="K6" s="23">
        <f t="shared" si="0"/>
        <v>19922</v>
      </c>
      <c r="L6" s="23">
        <f t="shared" si="0"/>
        <v>19577</v>
      </c>
      <c r="M6" s="23">
        <f t="shared" si="0"/>
        <v>21303</v>
      </c>
      <c r="N6" s="23">
        <f t="shared" si="0"/>
        <v>20554</v>
      </c>
      <c r="O6" s="23">
        <f t="shared" si="0"/>
        <v>21976</v>
      </c>
      <c r="P6" s="23">
        <f t="shared" si="0"/>
        <v>22140</v>
      </c>
      <c r="Q6" s="23">
        <f t="shared" si="0"/>
        <v>21667</v>
      </c>
      <c r="R6" s="23">
        <f t="shared" si="0"/>
        <v>21788</v>
      </c>
      <c r="S6" s="23">
        <f t="shared" si="0"/>
        <v>21508</v>
      </c>
      <c r="T6" s="23">
        <f t="shared" si="0"/>
        <v>20743</v>
      </c>
      <c r="U6" s="23">
        <f t="shared" si="0"/>
        <v>20916</v>
      </c>
      <c r="V6" s="23">
        <f t="shared" si="0"/>
        <v>21827</v>
      </c>
      <c r="W6" s="23">
        <f t="shared" si="0"/>
        <v>22117</v>
      </c>
      <c r="X6" s="23">
        <f t="shared" si="0"/>
        <v>21861</v>
      </c>
      <c r="Y6" s="23">
        <f t="shared" si="0"/>
        <v>21779</v>
      </c>
      <c r="Z6" s="23">
        <f t="shared" si="0"/>
        <v>21456</v>
      </c>
      <c r="AA6" s="23">
        <f t="shared" si="0"/>
        <v>21941</v>
      </c>
      <c r="AB6" s="23">
        <f t="shared" si="0"/>
        <v>21653</v>
      </c>
      <c r="AC6" s="23">
        <f t="shared" si="0"/>
        <v>22474</v>
      </c>
      <c r="AD6" s="23">
        <f t="shared" si="0"/>
        <v>22222</v>
      </c>
      <c r="AE6" s="23">
        <f t="shared" si="0"/>
        <v>22798</v>
      </c>
      <c r="AF6" s="23">
        <f t="shared" si="0"/>
        <v>21989</v>
      </c>
      <c r="AG6" s="23">
        <f t="shared" si="0"/>
        <v>22743</v>
      </c>
      <c r="AH6" s="23">
        <f t="shared" si="0"/>
        <v>22380</v>
      </c>
      <c r="AI6" s="2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7">
        <v>2</v>
      </c>
      <c r="B7" s="25" t="s">
        <v>16</v>
      </c>
      <c r="C7" s="89" t="s">
        <v>17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/>
    </row>
    <row r="8" spans="1:67" s="24" customFormat="1" ht="21.75" customHeight="1" thickBot="1" x14ac:dyDescent="0.25">
      <c r="A8" s="88"/>
      <c r="B8" s="22"/>
      <c r="C8" s="86"/>
      <c r="D8" s="23"/>
      <c r="E8" s="23">
        <f t="shared" ref="E8:AH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9">
        <v>3</v>
      </c>
      <c r="B9" s="36" t="s">
        <v>53</v>
      </c>
      <c r="C9" s="80" t="s">
        <v>54</v>
      </c>
      <c r="D9" s="21">
        <v>9507844</v>
      </c>
      <c r="E9" s="21">
        <v>9509222</v>
      </c>
      <c r="F9" s="21">
        <v>9510965</v>
      </c>
      <c r="G9" s="21">
        <v>9512799</v>
      </c>
      <c r="H9" s="21">
        <v>9514555</v>
      </c>
      <c r="I9" s="21">
        <v>9517351</v>
      </c>
      <c r="J9" s="21">
        <v>9521867</v>
      </c>
      <c r="K9" s="21">
        <v>9523542</v>
      </c>
      <c r="L9" s="21">
        <v>9526482</v>
      </c>
      <c r="M9" s="21">
        <v>9536438</v>
      </c>
      <c r="N9" s="21">
        <v>9551831</v>
      </c>
      <c r="O9" s="21">
        <v>9563465</v>
      </c>
      <c r="P9" s="21">
        <v>9580028</v>
      </c>
      <c r="Q9" s="21">
        <v>9593570</v>
      </c>
      <c r="R9" s="21">
        <v>9610187</v>
      </c>
      <c r="S9" s="21">
        <v>9629677</v>
      </c>
      <c r="T9" s="21">
        <v>9652827</v>
      </c>
      <c r="U9" s="21">
        <v>9675949</v>
      </c>
      <c r="V9" s="21">
        <v>9692557</v>
      </c>
      <c r="W9" s="21">
        <v>9709556</v>
      </c>
      <c r="X9" s="21">
        <v>9724168</v>
      </c>
      <c r="Y9" s="21">
        <v>9735626</v>
      </c>
      <c r="Z9" s="21">
        <v>9742834</v>
      </c>
      <c r="AA9" s="21">
        <v>9746092</v>
      </c>
      <c r="AB9" s="21">
        <v>9749655</v>
      </c>
      <c r="AC9" s="21">
        <v>9753176</v>
      </c>
      <c r="AD9" s="21">
        <v>9756694</v>
      </c>
      <c r="AE9" s="21">
        <v>9760532</v>
      </c>
      <c r="AF9" s="21">
        <v>9764532</v>
      </c>
      <c r="AG9" s="21">
        <v>9780043</v>
      </c>
      <c r="AH9" s="21">
        <v>9803407</v>
      </c>
      <c r="AI9" s="21"/>
    </row>
    <row r="10" spans="1:67" s="24" customFormat="1" ht="21.75" customHeight="1" thickBot="1" x14ac:dyDescent="0.25">
      <c r="A10" s="75"/>
      <c r="B10" s="37"/>
      <c r="C10" s="78"/>
      <c r="D10" s="23"/>
      <c r="E10" s="23">
        <f t="shared" ref="E10:AH10" si="2">E9-D9</f>
        <v>1378</v>
      </c>
      <c r="F10" s="23">
        <f t="shared" si="2"/>
        <v>1743</v>
      </c>
      <c r="G10" s="23">
        <f t="shared" si="2"/>
        <v>1834</v>
      </c>
      <c r="H10" s="23">
        <f t="shared" si="2"/>
        <v>1756</v>
      </c>
      <c r="I10" s="23">
        <f t="shared" si="2"/>
        <v>2796</v>
      </c>
      <c r="J10" s="23">
        <f t="shared" si="2"/>
        <v>4516</v>
      </c>
      <c r="K10" s="23">
        <f t="shared" si="2"/>
        <v>1675</v>
      </c>
      <c r="L10" s="23">
        <f t="shared" si="2"/>
        <v>2940</v>
      </c>
      <c r="M10" s="23">
        <f t="shared" si="2"/>
        <v>9956</v>
      </c>
      <c r="N10" s="23">
        <f t="shared" si="2"/>
        <v>15393</v>
      </c>
      <c r="O10" s="23">
        <f t="shared" si="2"/>
        <v>11634</v>
      </c>
      <c r="P10" s="23">
        <f t="shared" si="2"/>
        <v>16563</v>
      </c>
      <c r="Q10" s="23">
        <f t="shared" si="2"/>
        <v>13542</v>
      </c>
      <c r="R10" s="23">
        <f t="shared" si="2"/>
        <v>16617</v>
      </c>
      <c r="S10" s="23">
        <f t="shared" si="2"/>
        <v>19490</v>
      </c>
      <c r="T10" s="23">
        <f t="shared" si="2"/>
        <v>23150</v>
      </c>
      <c r="U10" s="23">
        <f t="shared" si="2"/>
        <v>23122</v>
      </c>
      <c r="V10" s="23">
        <f t="shared" si="2"/>
        <v>16608</v>
      </c>
      <c r="W10" s="23">
        <f t="shared" si="2"/>
        <v>16999</v>
      </c>
      <c r="X10" s="23">
        <f t="shared" si="2"/>
        <v>14612</v>
      </c>
      <c r="Y10" s="23">
        <f t="shared" si="2"/>
        <v>11458</v>
      </c>
      <c r="Z10" s="23">
        <f t="shared" si="2"/>
        <v>7208</v>
      </c>
      <c r="AA10" s="23">
        <f t="shared" si="2"/>
        <v>3258</v>
      </c>
      <c r="AB10" s="23">
        <f t="shared" si="2"/>
        <v>3563</v>
      </c>
      <c r="AC10" s="23">
        <f t="shared" si="2"/>
        <v>3521</v>
      </c>
      <c r="AD10" s="23">
        <f t="shared" si="2"/>
        <v>3518</v>
      </c>
      <c r="AE10" s="23">
        <f t="shared" si="2"/>
        <v>3838</v>
      </c>
      <c r="AF10" s="23">
        <f t="shared" si="2"/>
        <v>4000</v>
      </c>
      <c r="AG10" s="23">
        <f t="shared" si="2"/>
        <v>15511</v>
      </c>
      <c r="AH10" s="23">
        <f t="shared" si="2"/>
        <v>23364</v>
      </c>
      <c r="AI10" s="2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0">
        <v>4</v>
      </c>
      <c r="B11" s="36" t="s">
        <v>55</v>
      </c>
      <c r="C11" s="80" t="s">
        <v>56</v>
      </c>
      <c r="D11" s="21">
        <v>5008590</v>
      </c>
      <c r="E11" s="21">
        <v>5028263</v>
      </c>
      <c r="F11" s="21">
        <v>5047388</v>
      </c>
      <c r="G11" s="21">
        <v>5067451</v>
      </c>
      <c r="H11" s="21">
        <v>5088237</v>
      </c>
      <c r="I11" s="21">
        <v>5107869</v>
      </c>
      <c r="J11" s="21">
        <v>5126793</v>
      </c>
      <c r="K11" s="21">
        <v>5147393</v>
      </c>
      <c r="L11" s="21">
        <v>5167568</v>
      </c>
      <c r="M11" s="21">
        <v>5183620</v>
      </c>
      <c r="N11" s="21">
        <v>5196815</v>
      </c>
      <c r="O11" s="21">
        <v>5216910</v>
      </c>
      <c r="P11" s="21">
        <v>5236027</v>
      </c>
      <c r="Q11" s="21">
        <v>5255090</v>
      </c>
      <c r="R11" s="21">
        <v>5269021</v>
      </c>
      <c r="S11" s="21">
        <v>5281327</v>
      </c>
      <c r="T11" s="21">
        <v>5285961</v>
      </c>
      <c r="U11" s="21">
        <v>5291647</v>
      </c>
      <c r="V11" s="21">
        <v>5302891</v>
      </c>
      <c r="W11" s="21">
        <v>5316097</v>
      </c>
      <c r="X11" s="21">
        <v>5333366</v>
      </c>
      <c r="Y11" s="21">
        <v>5354192</v>
      </c>
      <c r="Z11" s="21">
        <v>5377454</v>
      </c>
      <c r="AA11" s="21">
        <v>5406414</v>
      </c>
      <c r="AB11" s="21">
        <v>5435675</v>
      </c>
      <c r="AC11" s="21">
        <v>5464623</v>
      </c>
      <c r="AD11" s="21">
        <v>5495583</v>
      </c>
      <c r="AE11" s="21">
        <v>5528627</v>
      </c>
      <c r="AF11" s="21">
        <v>5562817</v>
      </c>
      <c r="AG11" s="21">
        <v>5585260</v>
      </c>
      <c r="AH11" s="21">
        <v>5603502</v>
      </c>
      <c r="AI11" s="21"/>
    </row>
    <row r="12" spans="1:67" s="38" customFormat="1" ht="21.75" customHeight="1" thickBot="1" x14ac:dyDescent="0.25">
      <c r="A12" s="77"/>
      <c r="B12" s="37"/>
      <c r="C12" s="78"/>
      <c r="D12" s="23"/>
      <c r="E12" s="23">
        <f t="shared" ref="E12:AH12" si="3">E11-D11</f>
        <v>19673</v>
      </c>
      <c r="F12" s="23">
        <f t="shared" si="3"/>
        <v>19125</v>
      </c>
      <c r="G12" s="23">
        <f t="shared" si="3"/>
        <v>20063</v>
      </c>
      <c r="H12" s="23">
        <f t="shared" si="3"/>
        <v>20786</v>
      </c>
      <c r="I12" s="23">
        <f t="shared" si="3"/>
        <v>19632</v>
      </c>
      <c r="J12" s="23">
        <f t="shared" si="3"/>
        <v>18924</v>
      </c>
      <c r="K12" s="23">
        <f t="shared" si="3"/>
        <v>20600</v>
      </c>
      <c r="L12" s="23">
        <f t="shared" si="3"/>
        <v>20175</v>
      </c>
      <c r="M12" s="23">
        <f t="shared" si="3"/>
        <v>16052</v>
      </c>
      <c r="N12" s="23">
        <f t="shared" si="3"/>
        <v>13195</v>
      </c>
      <c r="O12" s="23">
        <f t="shared" si="3"/>
        <v>20095</v>
      </c>
      <c r="P12" s="23">
        <f t="shared" si="3"/>
        <v>19117</v>
      </c>
      <c r="Q12" s="23">
        <f t="shared" si="3"/>
        <v>19063</v>
      </c>
      <c r="R12" s="23">
        <f t="shared" si="3"/>
        <v>13931</v>
      </c>
      <c r="S12" s="23">
        <f t="shared" si="3"/>
        <v>12306</v>
      </c>
      <c r="T12" s="23">
        <f t="shared" si="3"/>
        <v>4634</v>
      </c>
      <c r="U12" s="23">
        <f t="shared" si="3"/>
        <v>5686</v>
      </c>
      <c r="V12" s="23">
        <f t="shared" si="3"/>
        <v>11244</v>
      </c>
      <c r="W12" s="23">
        <f t="shared" si="3"/>
        <v>13206</v>
      </c>
      <c r="X12" s="23">
        <f t="shared" si="3"/>
        <v>17269</v>
      </c>
      <c r="Y12" s="23">
        <f t="shared" si="3"/>
        <v>20826</v>
      </c>
      <c r="Z12" s="23">
        <f t="shared" si="3"/>
        <v>23262</v>
      </c>
      <c r="AA12" s="23">
        <f t="shared" si="3"/>
        <v>28960</v>
      </c>
      <c r="AB12" s="23">
        <f t="shared" si="3"/>
        <v>29261</v>
      </c>
      <c r="AC12" s="23">
        <f t="shared" si="3"/>
        <v>28948</v>
      </c>
      <c r="AD12" s="23">
        <f t="shared" si="3"/>
        <v>30960</v>
      </c>
      <c r="AE12" s="23">
        <f t="shared" si="3"/>
        <v>33044</v>
      </c>
      <c r="AF12" s="23">
        <f t="shared" si="3"/>
        <v>34190</v>
      </c>
      <c r="AG12" s="23">
        <f t="shared" si="3"/>
        <v>22443</v>
      </c>
      <c r="AH12" s="23">
        <f t="shared" si="3"/>
        <v>18242</v>
      </c>
      <c r="AI12" s="2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9">
        <v>7</v>
      </c>
      <c r="B13" s="39" t="s">
        <v>57</v>
      </c>
      <c r="C13" s="72" t="s">
        <v>58</v>
      </c>
      <c r="D13" s="40">
        <v>3221</v>
      </c>
      <c r="E13" s="40">
        <v>3221</v>
      </c>
      <c r="F13" s="40">
        <v>3222</v>
      </c>
      <c r="G13" s="40">
        <v>3222</v>
      </c>
      <c r="H13" s="40">
        <v>3222</v>
      </c>
      <c r="I13" s="40">
        <v>3222</v>
      </c>
      <c r="J13" s="40">
        <v>3222</v>
      </c>
      <c r="K13" s="40">
        <v>3222</v>
      </c>
      <c r="L13" s="40">
        <v>3222</v>
      </c>
      <c r="M13" s="40">
        <v>3222</v>
      </c>
      <c r="N13" s="40">
        <v>3222</v>
      </c>
      <c r="O13" s="40">
        <v>3222</v>
      </c>
      <c r="P13" s="40">
        <v>3222</v>
      </c>
      <c r="Q13" s="40">
        <v>3222</v>
      </c>
      <c r="R13" s="40">
        <v>3222</v>
      </c>
      <c r="S13" s="40">
        <v>3224</v>
      </c>
      <c r="T13" s="40">
        <v>3224</v>
      </c>
      <c r="U13" s="40">
        <v>3224</v>
      </c>
      <c r="V13" s="40">
        <v>3224</v>
      </c>
      <c r="W13" s="40">
        <v>3224</v>
      </c>
      <c r="X13" s="40">
        <v>3224</v>
      </c>
      <c r="Y13" s="40">
        <v>3224</v>
      </c>
      <c r="Z13" s="40">
        <v>3224</v>
      </c>
      <c r="AA13" s="40">
        <v>3224</v>
      </c>
      <c r="AB13" s="40">
        <v>3224</v>
      </c>
      <c r="AC13" s="40">
        <v>3224</v>
      </c>
      <c r="AD13" s="40">
        <v>3224</v>
      </c>
      <c r="AE13" s="40">
        <v>3224</v>
      </c>
      <c r="AF13" s="40">
        <v>3226</v>
      </c>
      <c r="AG13" s="40">
        <v>3226</v>
      </c>
      <c r="AH13" s="40">
        <v>3226</v>
      </c>
      <c r="AI13" s="40"/>
    </row>
    <row r="14" spans="1:67" s="24" customFormat="1" ht="21.75" customHeight="1" thickBot="1" x14ac:dyDescent="0.25">
      <c r="A14" s="75"/>
      <c r="B14" s="41"/>
      <c r="C14" s="78"/>
      <c r="D14" s="42"/>
      <c r="E14" s="42">
        <f t="shared" ref="E14:AH14" si="4">E13-D13</f>
        <v>0</v>
      </c>
      <c r="F14" s="42">
        <f t="shared" si="4"/>
        <v>1</v>
      </c>
      <c r="G14" s="42">
        <f t="shared" si="4"/>
        <v>0</v>
      </c>
      <c r="H14" s="42">
        <f t="shared" si="4"/>
        <v>0</v>
      </c>
      <c r="I14" s="42">
        <f t="shared" si="4"/>
        <v>0</v>
      </c>
      <c r="J14" s="42">
        <f t="shared" si="4"/>
        <v>0</v>
      </c>
      <c r="K14" s="42">
        <f t="shared" si="4"/>
        <v>0</v>
      </c>
      <c r="L14" s="42">
        <f t="shared" si="4"/>
        <v>0</v>
      </c>
      <c r="M14" s="42">
        <f t="shared" si="4"/>
        <v>0</v>
      </c>
      <c r="N14" s="42">
        <f t="shared" si="4"/>
        <v>0</v>
      </c>
      <c r="O14" s="42">
        <f t="shared" si="4"/>
        <v>0</v>
      </c>
      <c r="P14" s="42">
        <f t="shared" si="4"/>
        <v>0</v>
      </c>
      <c r="Q14" s="42">
        <f t="shared" si="4"/>
        <v>0</v>
      </c>
      <c r="R14" s="42">
        <f t="shared" si="4"/>
        <v>0</v>
      </c>
      <c r="S14" s="42">
        <f t="shared" si="4"/>
        <v>2</v>
      </c>
      <c r="T14" s="42">
        <f t="shared" si="4"/>
        <v>0</v>
      </c>
      <c r="U14" s="42">
        <f t="shared" si="4"/>
        <v>0</v>
      </c>
      <c r="V14" s="42">
        <f t="shared" si="4"/>
        <v>0</v>
      </c>
      <c r="W14" s="42">
        <f t="shared" si="4"/>
        <v>0</v>
      </c>
      <c r="X14" s="42">
        <f t="shared" si="4"/>
        <v>0</v>
      </c>
      <c r="Y14" s="42">
        <f t="shared" si="4"/>
        <v>0</v>
      </c>
      <c r="Z14" s="42">
        <f t="shared" si="4"/>
        <v>0</v>
      </c>
      <c r="AA14" s="42">
        <f t="shared" si="4"/>
        <v>0</v>
      </c>
      <c r="AB14" s="42">
        <f t="shared" si="4"/>
        <v>0</v>
      </c>
      <c r="AC14" s="42">
        <f t="shared" si="4"/>
        <v>0</v>
      </c>
      <c r="AD14" s="42">
        <f t="shared" si="4"/>
        <v>0</v>
      </c>
      <c r="AE14" s="42">
        <f t="shared" si="4"/>
        <v>0</v>
      </c>
      <c r="AF14" s="42">
        <f t="shared" si="4"/>
        <v>2</v>
      </c>
      <c r="AG14" s="42">
        <f t="shared" si="4"/>
        <v>0</v>
      </c>
      <c r="AH14" s="42">
        <f t="shared" si="4"/>
        <v>0</v>
      </c>
      <c r="AI14" s="42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0">
        <v>8</v>
      </c>
      <c r="B15" s="39" t="s">
        <v>59</v>
      </c>
      <c r="C15" s="72" t="s">
        <v>60</v>
      </c>
      <c r="D15" s="40">
        <v>451</v>
      </c>
      <c r="E15" s="40">
        <v>451</v>
      </c>
      <c r="F15" s="40">
        <v>451</v>
      </c>
      <c r="G15" s="40">
        <v>451</v>
      </c>
      <c r="H15" s="40">
        <v>451</v>
      </c>
      <c r="I15" s="40">
        <v>451</v>
      </c>
      <c r="J15" s="40">
        <v>451</v>
      </c>
      <c r="K15" s="40">
        <v>451</v>
      </c>
      <c r="L15" s="40">
        <v>451</v>
      </c>
      <c r="M15" s="40">
        <v>451</v>
      </c>
      <c r="N15" s="40">
        <v>451</v>
      </c>
      <c r="O15" s="40">
        <v>451</v>
      </c>
      <c r="P15" s="40">
        <v>451</v>
      </c>
      <c r="Q15" s="40">
        <v>451</v>
      </c>
      <c r="R15" s="40">
        <v>455</v>
      </c>
      <c r="S15" s="40">
        <v>455</v>
      </c>
      <c r="T15" s="40">
        <v>456</v>
      </c>
      <c r="U15" s="40">
        <v>456</v>
      </c>
      <c r="V15" s="40">
        <v>456</v>
      </c>
      <c r="W15" s="40">
        <v>456</v>
      </c>
      <c r="X15" s="40">
        <v>456</v>
      </c>
      <c r="Y15" s="40">
        <v>456</v>
      </c>
      <c r="Z15" s="40">
        <v>456</v>
      </c>
      <c r="AA15" s="40">
        <v>456</v>
      </c>
      <c r="AB15" s="40">
        <v>456</v>
      </c>
      <c r="AC15" s="40">
        <v>456</v>
      </c>
      <c r="AD15" s="40">
        <v>456</v>
      </c>
      <c r="AE15" s="40">
        <v>456</v>
      </c>
      <c r="AF15" s="40">
        <v>457</v>
      </c>
      <c r="AG15" s="40">
        <v>457</v>
      </c>
      <c r="AH15" s="40">
        <v>457</v>
      </c>
      <c r="AI15" s="40"/>
    </row>
    <row r="16" spans="1:67" s="24" customFormat="1" ht="21.75" customHeight="1" thickBot="1" x14ac:dyDescent="0.25">
      <c r="A16" s="77"/>
      <c r="B16" s="41"/>
      <c r="C16" s="78"/>
      <c r="D16" s="42"/>
      <c r="E16" s="42">
        <f t="shared" ref="E16:AH16" si="5">E15-D15</f>
        <v>0</v>
      </c>
      <c r="F16" s="42">
        <f t="shared" si="5"/>
        <v>0</v>
      </c>
      <c r="G16" s="42">
        <f t="shared" si="5"/>
        <v>0</v>
      </c>
      <c r="H16" s="42">
        <f t="shared" si="5"/>
        <v>0</v>
      </c>
      <c r="I16" s="42">
        <f t="shared" si="5"/>
        <v>0</v>
      </c>
      <c r="J16" s="42">
        <f t="shared" si="5"/>
        <v>0</v>
      </c>
      <c r="K16" s="42">
        <f t="shared" si="5"/>
        <v>0</v>
      </c>
      <c r="L16" s="42">
        <f t="shared" si="5"/>
        <v>0</v>
      </c>
      <c r="M16" s="42">
        <f t="shared" si="5"/>
        <v>0</v>
      </c>
      <c r="N16" s="42">
        <f t="shared" si="5"/>
        <v>0</v>
      </c>
      <c r="O16" s="42">
        <f t="shared" si="5"/>
        <v>0</v>
      </c>
      <c r="P16" s="42">
        <f t="shared" si="5"/>
        <v>0</v>
      </c>
      <c r="Q16" s="42">
        <f t="shared" si="5"/>
        <v>0</v>
      </c>
      <c r="R16" s="42">
        <f t="shared" si="5"/>
        <v>4</v>
      </c>
      <c r="S16" s="42">
        <f t="shared" si="5"/>
        <v>0</v>
      </c>
      <c r="T16" s="42">
        <f t="shared" si="5"/>
        <v>1</v>
      </c>
      <c r="U16" s="42">
        <f t="shared" si="5"/>
        <v>0</v>
      </c>
      <c r="V16" s="42">
        <f t="shared" si="5"/>
        <v>0</v>
      </c>
      <c r="W16" s="42">
        <f t="shared" si="5"/>
        <v>0</v>
      </c>
      <c r="X16" s="42">
        <f t="shared" si="5"/>
        <v>0</v>
      </c>
      <c r="Y16" s="42">
        <f t="shared" si="5"/>
        <v>0</v>
      </c>
      <c r="Z16" s="42">
        <f t="shared" si="5"/>
        <v>0</v>
      </c>
      <c r="AA16" s="42">
        <f t="shared" si="5"/>
        <v>0</v>
      </c>
      <c r="AB16" s="42">
        <f t="shared" si="5"/>
        <v>0</v>
      </c>
      <c r="AC16" s="42">
        <f t="shared" si="5"/>
        <v>0</v>
      </c>
      <c r="AD16" s="42">
        <f t="shared" si="5"/>
        <v>0</v>
      </c>
      <c r="AE16" s="42">
        <f t="shared" si="5"/>
        <v>0</v>
      </c>
      <c r="AF16" s="42">
        <f t="shared" si="5"/>
        <v>1</v>
      </c>
      <c r="AG16" s="42">
        <f t="shared" si="5"/>
        <v>0</v>
      </c>
      <c r="AH16" s="42">
        <f t="shared" si="5"/>
        <v>0</v>
      </c>
      <c r="AI16" s="42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0">
        <v>13</v>
      </c>
      <c r="B17" s="39" t="s">
        <v>61</v>
      </c>
      <c r="C17" s="72" t="s">
        <v>62</v>
      </c>
      <c r="D17" s="40">
        <v>1393679</v>
      </c>
      <c r="E17" s="40">
        <v>1393924</v>
      </c>
      <c r="F17" s="40">
        <v>1394155</v>
      </c>
      <c r="G17" s="40">
        <v>1394381</v>
      </c>
      <c r="H17" s="40">
        <v>1394599</v>
      </c>
      <c r="I17" s="40">
        <v>1394837</v>
      </c>
      <c r="J17" s="40">
        <v>1395087</v>
      </c>
      <c r="K17" s="40">
        <v>1395331</v>
      </c>
      <c r="L17" s="40">
        <v>1395562</v>
      </c>
      <c r="M17" s="40">
        <v>1395775</v>
      </c>
      <c r="N17" s="40">
        <v>1396019</v>
      </c>
      <c r="O17" s="40">
        <v>1396289</v>
      </c>
      <c r="P17" s="40">
        <v>1396559</v>
      </c>
      <c r="Q17" s="40">
        <v>1396826</v>
      </c>
      <c r="R17" s="40">
        <v>1397098</v>
      </c>
      <c r="S17" s="40">
        <v>1397370</v>
      </c>
      <c r="T17" s="40">
        <v>1397622</v>
      </c>
      <c r="U17" s="40">
        <v>1397862</v>
      </c>
      <c r="V17" s="40">
        <v>1398138</v>
      </c>
      <c r="W17" s="40">
        <v>1398364</v>
      </c>
      <c r="X17" s="40">
        <v>1398644</v>
      </c>
      <c r="Y17" s="40">
        <v>1398946</v>
      </c>
      <c r="Z17" s="40">
        <v>1399232</v>
      </c>
      <c r="AA17" s="40">
        <v>1399503</v>
      </c>
      <c r="AB17" s="40">
        <v>1399768</v>
      </c>
      <c r="AC17" s="40">
        <v>1400069</v>
      </c>
      <c r="AD17" s="40">
        <v>1400330</v>
      </c>
      <c r="AE17" s="40">
        <v>1400617</v>
      </c>
      <c r="AF17" s="40">
        <v>1400899</v>
      </c>
      <c r="AG17" s="40">
        <v>1401183</v>
      </c>
      <c r="AH17" s="40">
        <v>1401450</v>
      </c>
      <c r="AI17" s="40"/>
    </row>
    <row r="18" spans="1:35" ht="21.75" customHeight="1" thickBot="1" x14ac:dyDescent="0.25">
      <c r="A18" s="71"/>
      <c r="B18" s="43"/>
      <c r="C18" s="73"/>
      <c r="D18" s="42"/>
      <c r="E18" s="42">
        <f t="shared" ref="E18:AH18" si="6">E17-D17</f>
        <v>245</v>
      </c>
      <c r="F18" s="42">
        <f t="shared" si="6"/>
        <v>231</v>
      </c>
      <c r="G18" s="42">
        <f t="shared" si="6"/>
        <v>226</v>
      </c>
      <c r="H18" s="42">
        <f t="shared" si="6"/>
        <v>218</v>
      </c>
      <c r="I18" s="42">
        <f t="shared" si="6"/>
        <v>238</v>
      </c>
      <c r="J18" s="42">
        <f t="shared" si="6"/>
        <v>250</v>
      </c>
      <c r="K18" s="42">
        <f t="shared" si="6"/>
        <v>244</v>
      </c>
      <c r="L18" s="42">
        <f t="shared" si="6"/>
        <v>231</v>
      </c>
      <c r="M18" s="42">
        <f t="shared" si="6"/>
        <v>213</v>
      </c>
      <c r="N18" s="42">
        <f t="shared" si="6"/>
        <v>244</v>
      </c>
      <c r="O18" s="42">
        <f t="shared" si="6"/>
        <v>270</v>
      </c>
      <c r="P18" s="42">
        <f t="shared" si="6"/>
        <v>270</v>
      </c>
      <c r="Q18" s="42">
        <f t="shared" si="6"/>
        <v>267</v>
      </c>
      <c r="R18" s="42">
        <f t="shared" si="6"/>
        <v>272</v>
      </c>
      <c r="S18" s="42">
        <f t="shared" si="6"/>
        <v>272</v>
      </c>
      <c r="T18" s="42">
        <f t="shared" si="6"/>
        <v>252</v>
      </c>
      <c r="U18" s="42">
        <f t="shared" si="6"/>
        <v>240</v>
      </c>
      <c r="V18" s="42">
        <f t="shared" si="6"/>
        <v>276</v>
      </c>
      <c r="W18" s="42">
        <f t="shared" si="6"/>
        <v>226</v>
      </c>
      <c r="X18" s="42">
        <f t="shared" si="6"/>
        <v>280</v>
      </c>
      <c r="Y18" s="42">
        <f t="shared" si="6"/>
        <v>302</v>
      </c>
      <c r="Z18" s="42">
        <f t="shared" si="6"/>
        <v>286</v>
      </c>
      <c r="AA18" s="42">
        <f t="shared" si="6"/>
        <v>271</v>
      </c>
      <c r="AB18" s="42">
        <f t="shared" si="6"/>
        <v>265</v>
      </c>
      <c r="AC18" s="42">
        <f t="shared" si="6"/>
        <v>301</v>
      </c>
      <c r="AD18" s="42">
        <f t="shared" si="6"/>
        <v>261</v>
      </c>
      <c r="AE18" s="42">
        <f t="shared" si="6"/>
        <v>287</v>
      </c>
      <c r="AF18" s="42">
        <f t="shared" si="6"/>
        <v>282</v>
      </c>
      <c r="AG18" s="42">
        <f t="shared" si="6"/>
        <v>284</v>
      </c>
      <c r="AH18" s="42">
        <f t="shared" si="6"/>
        <v>267</v>
      </c>
      <c r="AI18" s="42"/>
    </row>
    <row r="19" spans="1:35" ht="21.75" customHeight="1" x14ac:dyDescent="0.2">
      <c r="A19" s="74">
        <v>14</v>
      </c>
      <c r="B19" s="39" t="s">
        <v>63</v>
      </c>
      <c r="C19" s="72" t="s">
        <v>64</v>
      </c>
      <c r="D19" s="40">
        <v>374610</v>
      </c>
      <c r="E19" s="40">
        <v>374657</v>
      </c>
      <c r="F19" s="40">
        <v>374704</v>
      </c>
      <c r="G19" s="40">
        <v>374753</v>
      </c>
      <c r="H19" s="40">
        <v>374801</v>
      </c>
      <c r="I19" s="40">
        <v>374847</v>
      </c>
      <c r="J19" s="40">
        <v>374892</v>
      </c>
      <c r="K19" s="40">
        <v>374937</v>
      </c>
      <c r="L19" s="40">
        <v>374982</v>
      </c>
      <c r="M19" s="40">
        <v>375028</v>
      </c>
      <c r="N19" s="40">
        <v>375072</v>
      </c>
      <c r="O19" s="40">
        <v>375119</v>
      </c>
      <c r="P19" s="40">
        <v>375168</v>
      </c>
      <c r="Q19" s="40">
        <v>375216</v>
      </c>
      <c r="R19" s="40">
        <v>375263</v>
      </c>
      <c r="S19" s="40">
        <v>375309</v>
      </c>
      <c r="T19" s="40">
        <v>375355</v>
      </c>
      <c r="U19" s="40">
        <v>375401</v>
      </c>
      <c r="V19" s="40">
        <v>375445</v>
      </c>
      <c r="W19" s="40">
        <v>375494</v>
      </c>
      <c r="X19" s="40">
        <v>375543</v>
      </c>
      <c r="Y19" s="40">
        <v>375593</v>
      </c>
      <c r="Z19" s="40">
        <v>375639</v>
      </c>
      <c r="AA19" s="40">
        <v>375689</v>
      </c>
      <c r="AB19" s="40">
        <v>375737</v>
      </c>
      <c r="AC19" s="40">
        <v>375790</v>
      </c>
      <c r="AD19" s="40">
        <v>375830</v>
      </c>
      <c r="AE19" s="40">
        <v>375889</v>
      </c>
      <c r="AF19" s="40">
        <v>375937</v>
      </c>
      <c r="AG19" s="40">
        <v>375984</v>
      </c>
      <c r="AH19" s="40">
        <v>376032</v>
      </c>
      <c r="AI19" s="40"/>
    </row>
    <row r="20" spans="1:35" ht="21.75" customHeight="1" thickBot="1" x14ac:dyDescent="0.25">
      <c r="A20" s="75"/>
      <c r="B20" s="43"/>
      <c r="C20" s="73"/>
      <c r="D20" s="42"/>
      <c r="E20" s="42">
        <f>E19-D19</f>
        <v>47</v>
      </c>
      <c r="F20" s="42">
        <f t="shared" ref="F20:AH20" si="7">F19-E19</f>
        <v>47</v>
      </c>
      <c r="G20" s="42">
        <f t="shared" si="7"/>
        <v>49</v>
      </c>
      <c r="H20" s="42">
        <f t="shared" si="7"/>
        <v>48</v>
      </c>
      <c r="I20" s="42">
        <f t="shared" si="7"/>
        <v>46</v>
      </c>
      <c r="J20" s="42">
        <f t="shared" si="7"/>
        <v>45</v>
      </c>
      <c r="K20" s="42">
        <f t="shared" si="7"/>
        <v>45</v>
      </c>
      <c r="L20" s="42">
        <f t="shared" si="7"/>
        <v>45</v>
      </c>
      <c r="M20" s="42">
        <f t="shared" si="7"/>
        <v>46</v>
      </c>
      <c r="N20" s="42">
        <f t="shared" si="7"/>
        <v>44</v>
      </c>
      <c r="O20" s="42">
        <f t="shared" si="7"/>
        <v>47</v>
      </c>
      <c r="P20" s="42">
        <f t="shared" si="7"/>
        <v>49</v>
      </c>
      <c r="Q20" s="42">
        <f t="shared" si="7"/>
        <v>48</v>
      </c>
      <c r="R20" s="42">
        <f t="shared" si="7"/>
        <v>47</v>
      </c>
      <c r="S20" s="42">
        <f t="shared" si="7"/>
        <v>46</v>
      </c>
      <c r="T20" s="42">
        <f t="shared" si="7"/>
        <v>46</v>
      </c>
      <c r="U20" s="42">
        <f t="shared" si="7"/>
        <v>46</v>
      </c>
      <c r="V20" s="42">
        <f t="shared" si="7"/>
        <v>44</v>
      </c>
      <c r="W20" s="42">
        <f t="shared" si="7"/>
        <v>49</v>
      </c>
      <c r="X20" s="42">
        <f t="shared" si="7"/>
        <v>49</v>
      </c>
      <c r="Y20" s="42">
        <f t="shared" si="7"/>
        <v>50</v>
      </c>
      <c r="Z20" s="42">
        <f t="shared" si="7"/>
        <v>46</v>
      </c>
      <c r="AA20" s="42">
        <f t="shared" si="7"/>
        <v>50</v>
      </c>
      <c r="AB20" s="42">
        <f t="shared" si="7"/>
        <v>48</v>
      </c>
      <c r="AC20" s="42">
        <f t="shared" si="7"/>
        <v>53</v>
      </c>
      <c r="AD20" s="42">
        <f t="shared" si="7"/>
        <v>40</v>
      </c>
      <c r="AE20" s="42">
        <f t="shared" si="7"/>
        <v>59</v>
      </c>
      <c r="AF20" s="42">
        <f t="shared" si="7"/>
        <v>48</v>
      </c>
      <c r="AG20" s="42">
        <f t="shared" si="7"/>
        <v>47</v>
      </c>
      <c r="AH20" s="42">
        <f t="shared" si="7"/>
        <v>48</v>
      </c>
      <c r="AI20" s="42"/>
    </row>
    <row r="21" spans="1:35" ht="27" customHeight="1" x14ac:dyDescent="0.3">
      <c r="B21" s="76" t="s">
        <v>65</v>
      </c>
      <c r="C21" s="76"/>
      <c r="D21" s="44"/>
      <c r="E21" s="62">
        <f>((E6+E8)+((E10+E12)*40%)+(E14+E16+E18+E20))</f>
        <v>29235.4</v>
      </c>
      <c r="F21" s="62">
        <f t="shared" ref="F21:AI21" si="8">((F6+F8)+((F10+F12)*40%)+(F14+F16+F18+F20))</f>
        <v>26099.200000000001</v>
      </c>
      <c r="G21" s="62">
        <f t="shared" si="8"/>
        <v>32685.800000000003</v>
      </c>
      <c r="H21" s="62">
        <f t="shared" si="8"/>
        <v>30553.800000000003</v>
      </c>
      <c r="I21" s="62">
        <f t="shared" si="8"/>
        <v>29971.200000000001</v>
      </c>
      <c r="J21" s="62">
        <f t="shared" si="8"/>
        <v>30115</v>
      </c>
      <c r="K21" s="62">
        <f t="shared" si="8"/>
        <v>29121</v>
      </c>
      <c r="L21" s="62">
        <f t="shared" si="8"/>
        <v>29099</v>
      </c>
      <c r="M21" s="62">
        <f t="shared" si="8"/>
        <v>31965.200000000001</v>
      </c>
      <c r="N21" s="62">
        <f t="shared" si="8"/>
        <v>32277.200000000001</v>
      </c>
      <c r="O21" s="62">
        <f t="shared" si="8"/>
        <v>34984.6</v>
      </c>
      <c r="P21" s="62">
        <f t="shared" si="8"/>
        <v>36731</v>
      </c>
      <c r="Q21" s="62">
        <f t="shared" si="8"/>
        <v>35024</v>
      </c>
      <c r="R21" s="62">
        <f t="shared" si="8"/>
        <v>34330.199999999997</v>
      </c>
      <c r="S21" s="62">
        <f t="shared" si="8"/>
        <v>34546.400000000001</v>
      </c>
      <c r="T21" s="62">
        <f t="shared" si="8"/>
        <v>32155.599999999999</v>
      </c>
      <c r="U21" s="62">
        <f t="shared" si="8"/>
        <v>32725.200000000001</v>
      </c>
      <c r="V21" s="62">
        <f t="shared" si="8"/>
        <v>33287.800000000003</v>
      </c>
      <c r="W21" s="62">
        <f t="shared" si="8"/>
        <v>34474</v>
      </c>
      <c r="X21" s="62">
        <f t="shared" si="8"/>
        <v>34942.400000000001</v>
      </c>
      <c r="Y21" s="62">
        <f t="shared" si="8"/>
        <v>35044.6</v>
      </c>
      <c r="Z21" s="62">
        <f t="shared" si="8"/>
        <v>33976</v>
      </c>
      <c r="AA21" s="62">
        <f t="shared" si="8"/>
        <v>35149.199999999997</v>
      </c>
      <c r="AB21" s="62">
        <f t="shared" si="8"/>
        <v>35095.599999999999</v>
      </c>
      <c r="AC21" s="62">
        <f t="shared" si="8"/>
        <v>35815.599999999999</v>
      </c>
      <c r="AD21" s="62">
        <f t="shared" si="8"/>
        <v>36314.199999999997</v>
      </c>
      <c r="AE21" s="62">
        <f t="shared" si="8"/>
        <v>37896.800000000003</v>
      </c>
      <c r="AF21" s="62">
        <f t="shared" si="8"/>
        <v>37598</v>
      </c>
      <c r="AG21" s="62">
        <f t="shared" si="8"/>
        <v>38255.599999999999</v>
      </c>
      <c r="AH21" s="62">
        <f t="shared" si="8"/>
        <v>39337.4</v>
      </c>
      <c r="AI21" s="62">
        <f t="shared" si="8"/>
        <v>0</v>
      </c>
    </row>
    <row r="22" spans="1:35" ht="27" customHeight="1" x14ac:dyDescent="0.3">
      <c r="B22" s="69" t="s">
        <v>66</v>
      </c>
      <c r="C22" s="69"/>
      <c r="D22" s="44"/>
      <c r="E22" s="62">
        <f>SUM(E21:AI21)</f>
        <v>1008807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R41"/>
  <sheetViews>
    <sheetView zoomScaleNormal="100" workbookViewId="0">
      <pane ySplit="5" topLeftCell="A30" activePane="bottomLeft" state="frozen"/>
      <selection pane="bottomLeft" activeCell="L16" sqref="L16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  <col min="4" max="13" width="10.7109375" customWidth="1"/>
    <col min="14" max="14" width="13.85546875" customWidth="1"/>
  </cols>
  <sheetData>
    <row r="1" spans="1:18" ht="50.25" customHeight="1" x14ac:dyDescent="0.25">
      <c r="A1" s="97" t="s">
        <v>95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3" spans="1:18" ht="30" x14ac:dyDescent="0.25">
      <c r="A3" s="51" t="s">
        <v>12</v>
      </c>
      <c r="B3" s="98" t="s">
        <v>75</v>
      </c>
      <c r="C3" s="98"/>
      <c r="D3" s="98" t="s">
        <v>76</v>
      </c>
      <c r="E3" s="98"/>
      <c r="F3" s="98" t="s">
        <v>77</v>
      </c>
      <c r="G3" s="98"/>
      <c r="H3" s="98" t="s">
        <v>78</v>
      </c>
      <c r="I3" s="98"/>
      <c r="J3" s="98" t="s">
        <v>79</v>
      </c>
      <c r="K3" s="98"/>
      <c r="L3" s="98" t="s">
        <v>80</v>
      </c>
      <c r="M3" s="98"/>
    </row>
    <row r="4" spans="1:18" ht="45" x14ac:dyDescent="0.25">
      <c r="A4" s="51" t="s">
        <v>81</v>
      </c>
      <c r="B4" s="92">
        <v>483</v>
      </c>
      <c r="C4" s="93"/>
      <c r="D4" s="92">
        <v>30</v>
      </c>
      <c r="E4" s="93"/>
      <c r="F4" s="92">
        <v>30</v>
      </c>
      <c r="G4" s="93"/>
      <c r="H4" s="92">
        <v>30</v>
      </c>
      <c r="I4" s="93"/>
      <c r="J4" s="92">
        <v>50</v>
      </c>
      <c r="K4" s="93"/>
      <c r="L4" s="92">
        <v>30</v>
      </c>
      <c r="M4" s="93"/>
    </row>
    <row r="5" spans="1:18" ht="48" x14ac:dyDescent="0.25">
      <c r="A5" s="52" t="s">
        <v>19</v>
      </c>
      <c r="B5" s="53">
        <v>959273</v>
      </c>
      <c r="C5" s="54"/>
      <c r="D5" s="53">
        <v>69429</v>
      </c>
      <c r="E5" s="54"/>
      <c r="F5" s="53">
        <v>7854.03</v>
      </c>
      <c r="G5" s="54"/>
      <c r="H5" s="53">
        <v>2315.5300000000002</v>
      </c>
      <c r="I5" s="54"/>
      <c r="J5" s="53">
        <v>189887.5</v>
      </c>
      <c r="K5" s="54"/>
      <c r="L5" s="53">
        <v>14557.35</v>
      </c>
      <c r="M5" s="54"/>
      <c r="N5" s="59" t="s">
        <v>87</v>
      </c>
    </row>
    <row r="6" spans="1:18" ht="28.5" customHeight="1" x14ac:dyDescent="0.25">
      <c r="A6" s="55">
        <v>1</v>
      </c>
      <c r="B6" s="53">
        <v>960046</v>
      </c>
      <c r="C6" s="54">
        <f>(B6-B5)*3.7</f>
        <v>2860.1000000000004</v>
      </c>
      <c r="D6" s="53">
        <v>69434.539999999994</v>
      </c>
      <c r="E6" s="54">
        <f>(D6-D5)*3.7</f>
        <v>20.497999999976312</v>
      </c>
      <c r="F6" s="53">
        <v>7855.28</v>
      </c>
      <c r="G6" s="54">
        <f>(F6-F5)*3.7</f>
        <v>4.625</v>
      </c>
      <c r="H6" s="53">
        <v>2315.6</v>
      </c>
      <c r="I6" s="54">
        <f>(H6-H5)*3.7</f>
        <v>0.25899999999892315</v>
      </c>
      <c r="J6" s="53">
        <v>189901.5</v>
      </c>
      <c r="K6" s="54">
        <f>(J6-J5)*3.7</f>
        <v>51.800000000000004</v>
      </c>
      <c r="L6" s="53">
        <v>14560.35</v>
      </c>
      <c r="M6" s="54">
        <f>(L6-L5)*3.7</f>
        <v>11.100000000000001</v>
      </c>
      <c r="N6" s="60">
        <f>SUM(C6,E6,G6,I6,K6,M6)</f>
        <v>2948.381999999976</v>
      </c>
    </row>
    <row r="7" spans="1:18" ht="28.5" customHeight="1" x14ac:dyDescent="0.25">
      <c r="A7" s="55">
        <v>2</v>
      </c>
      <c r="B7" s="53">
        <v>960898</v>
      </c>
      <c r="C7" s="54">
        <f t="shared" ref="C7:C35" si="0">(B7-B6)*3.7</f>
        <v>3152.4</v>
      </c>
      <c r="D7" s="53">
        <v>69440.36</v>
      </c>
      <c r="E7" s="54">
        <f t="shared" ref="E7:E35" si="1">(D7-D6)*3.7</f>
        <v>21.534000000025845</v>
      </c>
      <c r="F7" s="53">
        <v>7856.56</v>
      </c>
      <c r="G7" s="54">
        <f t="shared" ref="G7:G35" si="2">(F7-F6)*3.7</f>
        <v>4.7360000000024227</v>
      </c>
      <c r="H7" s="53">
        <v>2315.9</v>
      </c>
      <c r="I7" s="54">
        <f t="shared" ref="I7:I35" si="3">(H7-H6)*3.7</f>
        <v>1.1100000000006731</v>
      </c>
      <c r="J7" s="53">
        <v>189933.3</v>
      </c>
      <c r="K7" s="54">
        <f t="shared" ref="K7:K35" si="4">(J7-J6)*3.7</f>
        <v>117.65999999995694</v>
      </c>
      <c r="L7" s="53">
        <v>14560.5</v>
      </c>
      <c r="M7" s="54">
        <f t="shared" ref="M7:M35" si="5">(L7-L6)*3.7</f>
        <v>0.55499999999865401</v>
      </c>
      <c r="N7" s="60">
        <f t="shared" ref="N7:N15" si="6">SUM(C7,E7,G7,I7,K7,M7)</f>
        <v>3297.9949999999849</v>
      </c>
    </row>
    <row r="8" spans="1:18" ht="28.5" customHeight="1" x14ac:dyDescent="0.25">
      <c r="A8" s="56">
        <v>3</v>
      </c>
      <c r="B8" s="53">
        <v>961682</v>
      </c>
      <c r="C8" s="54">
        <f t="shared" si="0"/>
        <v>2900.8</v>
      </c>
      <c r="D8" s="53">
        <v>69449.42</v>
      </c>
      <c r="E8" s="54">
        <f t="shared" si="1"/>
        <v>33.521999999991387</v>
      </c>
      <c r="F8" s="53">
        <v>7857.95</v>
      </c>
      <c r="G8" s="54">
        <f t="shared" si="2"/>
        <v>5.1429999999978468</v>
      </c>
      <c r="H8" s="53">
        <v>2316.1999999999998</v>
      </c>
      <c r="I8" s="54">
        <f t="shared" si="3"/>
        <v>1.1099999999989905</v>
      </c>
      <c r="J8" s="53">
        <v>189954.5</v>
      </c>
      <c r="K8" s="54">
        <f t="shared" si="4"/>
        <v>78.440000000043071</v>
      </c>
      <c r="L8" s="53">
        <v>14562.22</v>
      </c>
      <c r="M8" s="54">
        <f t="shared" si="5"/>
        <v>6.3639999999975778</v>
      </c>
      <c r="N8" s="60">
        <f>SUM(C8,E8,G8,I8,K8,M8)</f>
        <v>3025.379000000029</v>
      </c>
    </row>
    <row r="9" spans="1:18" ht="28.5" customHeight="1" x14ac:dyDescent="0.25">
      <c r="A9" s="55">
        <v>4</v>
      </c>
      <c r="B9" s="53">
        <v>962630</v>
      </c>
      <c r="C9" s="54">
        <f t="shared" si="0"/>
        <v>3507.6000000000004</v>
      </c>
      <c r="D9" s="53">
        <v>69456.52</v>
      </c>
      <c r="E9" s="54">
        <f t="shared" si="1"/>
        <v>26.27000000002154</v>
      </c>
      <c r="F9" s="53">
        <v>7858.8</v>
      </c>
      <c r="G9" s="54">
        <f t="shared" si="2"/>
        <v>3.1450000000013461</v>
      </c>
      <c r="H9" s="53">
        <v>2316.5</v>
      </c>
      <c r="I9" s="54">
        <f t="shared" si="3"/>
        <v>1.1100000000006731</v>
      </c>
      <c r="J9" s="53">
        <v>189974.5</v>
      </c>
      <c r="K9" s="54">
        <f t="shared" si="4"/>
        <v>74</v>
      </c>
      <c r="L9" s="53">
        <v>14563.9</v>
      </c>
      <c r="M9" s="54">
        <f t="shared" si="5"/>
        <v>6.2160000000010776</v>
      </c>
      <c r="N9" s="60">
        <f t="shared" si="6"/>
        <v>3618.3410000000249</v>
      </c>
    </row>
    <row r="10" spans="1:18" ht="28.5" customHeight="1" x14ac:dyDescent="0.25">
      <c r="A10" s="55">
        <v>5</v>
      </c>
      <c r="B10" s="53">
        <v>963234</v>
      </c>
      <c r="C10" s="54">
        <f t="shared" si="0"/>
        <v>2234.8000000000002</v>
      </c>
      <c r="D10" s="53">
        <v>69467.86</v>
      </c>
      <c r="E10" s="54">
        <f t="shared" si="1"/>
        <v>41.957999999987081</v>
      </c>
      <c r="F10" s="53">
        <v>7860.31</v>
      </c>
      <c r="G10" s="54">
        <f t="shared" si="2"/>
        <v>5.587000000000808</v>
      </c>
      <c r="H10" s="53">
        <v>2316.8000000000002</v>
      </c>
      <c r="I10" s="54">
        <f t="shared" si="3"/>
        <v>1.1100000000006731</v>
      </c>
      <c r="J10" s="53">
        <v>189998</v>
      </c>
      <c r="K10" s="54">
        <f t="shared" si="4"/>
        <v>86.95</v>
      </c>
      <c r="L10" s="53">
        <v>14567.09</v>
      </c>
      <c r="M10" s="54">
        <f t="shared" si="5"/>
        <v>11.803000000001886</v>
      </c>
      <c r="N10" s="60">
        <f t="shared" si="6"/>
        <v>2382.2079999999901</v>
      </c>
    </row>
    <row r="11" spans="1:18" ht="28.5" customHeight="1" x14ac:dyDescent="0.25">
      <c r="A11" s="55">
        <v>6</v>
      </c>
      <c r="B11" s="53">
        <v>963957</v>
      </c>
      <c r="C11" s="54">
        <f t="shared" si="0"/>
        <v>2675.1</v>
      </c>
      <c r="D11" s="53">
        <v>69476.460000000006</v>
      </c>
      <c r="E11" s="54">
        <f t="shared" si="1"/>
        <v>31.820000000021537</v>
      </c>
      <c r="F11" s="53">
        <v>7861.35</v>
      </c>
      <c r="G11" s="54">
        <f t="shared" si="2"/>
        <v>3.8479999999998658</v>
      </c>
      <c r="H11" s="53">
        <v>2316.9</v>
      </c>
      <c r="I11" s="54">
        <f t="shared" si="3"/>
        <v>0.36999999999966349</v>
      </c>
      <c r="J11" s="53">
        <v>190018.8</v>
      </c>
      <c r="K11" s="54">
        <f t="shared" si="4"/>
        <v>76.959999999956935</v>
      </c>
      <c r="L11" s="53">
        <v>14570.14</v>
      </c>
      <c r="M11" s="54">
        <f t="shared" si="5"/>
        <v>11.284999999997309</v>
      </c>
      <c r="N11" s="60">
        <f>SUM(C11,E11,G11,I11,K11,M11)</f>
        <v>2799.3829999999748</v>
      </c>
      <c r="R11" t="s">
        <v>82</v>
      </c>
    </row>
    <row r="12" spans="1:18" ht="28.5" customHeight="1" x14ac:dyDescent="0.25">
      <c r="A12" s="55">
        <v>7</v>
      </c>
      <c r="B12" s="53">
        <v>964706</v>
      </c>
      <c r="C12" s="54">
        <f t="shared" si="0"/>
        <v>2771.3</v>
      </c>
      <c r="D12" s="53">
        <v>69484.37</v>
      </c>
      <c r="E12" s="54">
        <f t="shared" si="1"/>
        <v>29.266999999959083</v>
      </c>
      <c r="F12" s="53">
        <v>7862.6</v>
      </c>
      <c r="G12" s="54">
        <f t="shared" si="2"/>
        <v>4.625</v>
      </c>
      <c r="H12" s="53">
        <v>2316.9499999999998</v>
      </c>
      <c r="I12" s="54">
        <f t="shared" si="3"/>
        <v>0.18499999999899047</v>
      </c>
      <c r="J12" s="53">
        <v>190046.6</v>
      </c>
      <c r="K12" s="54">
        <f t="shared" si="4"/>
        <v>102.86000000006462</v>
      </c>
      <c r="L12" s="53">
        <v>14572.3</v>
      </c>
      <c r="M12" s="54">
        <f t="shared" si="5"/>
        <v>7.9919999999994618</v>
      </c>
      <c r="N12" s="60">
        <f t="shared" si="6"/>
        <v>2916.2290000000221</v>
      </c>
    </row>
    <row r="13" spans="1:18" ht="28.5" customHeight="1" x14ac:dyDescent="0.25">
      <c r="A13" s="55">
        <v>8</v>
      </c>
      <c r="B13" s="53">
        <v>965395</v>
      </c>
      <c r="C13" s="54">
        <f t="shared" si="0"/>
        <v>2549.3000000000002</v>
      </c>
      <c r="D13" s="53">
        <v>69495.12</v>
      </c>
      <c r="E13" s="54">
        <f t="shared" si="1"/>
        <v>39.774999999999999</v>
      </c>
      <c r="F13" s="53">
        <v>7863.12</v>
      </c>
      <c r="G13" s="54">
        <f t="shared" si="2"/>
        <v>1.9239999999982502</v>
      </c>
      <c r="H13" s="53">
        <v>2316.9899999999998</v>
      </c>
      <c r="I13" s="54">
        <f t="shared" si="3"/>
        <v>0.14799999999986541</v>
      </c>
      <c r="J13" s="53">
        <v>190066.9</v>
      </c>
      <c r="K13" s="54">
        <f t="shared" si="4"/>
        <v>75.109999999956926</v>
      </c>
      <c r="L13" s="53">
        <v>14574.12</v>
      </c>
      <c r="M13" s="54">
        <f t="shared" si="5"/>
        <v>6.7340000000056541</v>
      </c>
      <c r="N13" s="60">
        <f t="shared" si="6"/>
        <v>2672.9909999999609</v>
      </c>
    </row>
    <row r="14" spans="1:18" ht="28.5" customHeight="1" x14ac:dyDescent="0.25">
      <c r="A14" s="55">
        <v>9</v>
      </c>
      <c r="B14" s="53">
        <v>966068</v>
      </c>
      <c r="C14" s="54">
        <f t="shared" si="0"/>
        <v>2490.1</v>
      </c>
      <c r="D14" s="53">
        <v>69504.2</v>
      </c>
      <c r="E14" s="54">
        <f t="shared" si="1"/>
        <v>33.596000000006462</v>
      </c>
      <c r="F14" s="53">
        <v>7864.91</v>
      </c>
      <c r="G14" s="54">
        <f t="shared" si="2"/>
        <v>6.6229999999998661</v>
      </c>
      <c r="H14" s="53">
        <v>2317.0500000000002</v>
      </c>
      <c r="I14" s="54">
        <f t="shared" si="3"/>
        <v>0.22200000000148068</v>
      </c>
      <c r="J14" s="53">
        <v>190094.1</v>
      </c>
      <c r="K14" s="54">
        <f t="shared" si="4"/>
        <v>100.64000000004307</v>
      </c>
      <c r="L14" s="53">
        <v>14577</v>
      </c>
      <c r="M14" s="54">
        <f t="shared" si="5"/>
        <v>10.655999999997039</v>
      </c>
      <c r="N14" s="60">
        <f t="shared" si="6"/>
        <v>2641.8370000000482</v>
      </c>
    </row>
    <row r="15" spans="1:18" ht="28.5" customHeight="1" x14ac:dyDescent="0.25">
      <c r="A15" s="55">
        <v>10</v>
      </c>
      <c r="B15" s="53">
        <v>966816</v>
      </c>
      <c r="C15" s="54">
        <f t="shared" si="0"/>
        <v>2767.6</v>
      </c>
      <c r="D15" s="53">
        <v>69507.13</v>
      </c>
      <c r="E15" s="54">
        <f t="shared" si="1"/>
        <v>10.841000000027998</v>
      </c>
      <c r="F15" s="53">
        <v>7865.9</v>
      </c>
      <c r="G15" s="54">
        <f t="shared" si="2"/>
        <v>3.6629999999991925</v>
      </c>
      <c r="H15" s="53">
        <v>2317.3000000000002</v>
      </c>
      <c r="I15" s="54">
        <f t="shared" si="3"/>
        <v>0.92500000000000004</v>
      </c>
      <c r="J15" s="53">
        <v>190107.11</v>
      </c>
      <c r="K15" s="54">
        <f t="shared" si="4"/>
        <v>48.136999999926779</v>
      </c>
      <c r="L15" s="53">
        <v>14583.27</v>
      </c>
      <c r="M15" s="54">
        <f t="shared" si="5"/>
        <v>23.199000000001618</v>
      </c>
      <c r="N15" s="60">
        <f t="shared" si="6"/>
        <v>2854.3649999999557</v>
      </c>
    </row>
    <row r="16" spans="1:18" ht="28.5" customHeight="1" x14ac:dyDescent="0.25">
      <c r="A16" s="55">
        <v>11</v>
      </c>
      <c r="B16" s="67">
        <v>966816</v>
      </c>
      <c r="C16" s="54">
        <f t="shared" si="0"/>
        <v>0</v>
      </c>
      <c r="D16" s="67">
        <v>69507.13</v>
      </c>
      <c r="E16" s="54">
        <f t="shared" si="1"/>
        <v>0</v>
      </c>
      <c r="F16" s="67">
        <v>7865.9</v>
      </c>
      <c r="G16" s="54">
        <f t="shared" si="2"/>
        <v>0</v>
      </c>
      <c r="H16" s="67">
        <v>2317.35</v>
      </c>
      <c r="I16" s="54">
        <f t="shared" si="3"/>
        <v>0.18499999999899047</v>
      </c>
      <c r="J16" s="67">
        <v>190107.11</v>
      </c>
      <c r="K16" s="54">
        <f t="shared" si="4"/>
        <v>0</v>
      </c>
      <c r="L16" s="67">
        <v>14583.27</v>
      </c>
      <c r="M16" s="54">
        <f t="shared" si="5"/>
        <v>0</v>
      </c>
      <c r="N16" s="60">
        <f>SUM(C16,E16,G16,I16,K16,M16)</f>
        <v>0.18499999999899047</v>
      </c>
    </row>
    <row r="17" spans="1:15" ht="28.5" customHeight="1" x14ac:dyDescent="0.25">
      <c r="A17" s="55">
        <v>12</v>
      </c>
      <c r="B17" s="53">
        <v>968261</v>
      </c>
      <c r="C17" s="54">
        <f t="shared" si="0"/>
        <v>5346.5</v>
      </c>
      <c r="D17" s="53">
        <v>69525</v>
      </c>
      <c r="E17" s="54">
        <f t="shared" si="1"/>
        <v>66.118999999982776</v>
      </c>
      <c r="F17" s="53">
        <v>7868</v>
      </c>
      <c r="G17" s="54">
        <f t="shared" si="2"/>
        <v>7.7700000000013461</v>
      </c>
      <c r="H17" s="53">
        <v>2317.39</v>
      </c>
      <c r="I17" s="54">
        <f t="shared" si="3"/>
        <v>0.14799999999986541</v>
      </c>
      <c r="J17" s="53">
        <v>190108.95</v>
      </c>
      <c r="K17" s="54">
        <f t="shared" si="4"/>
        <v>6.8080000000947622</v>
      </c>
      <c r="L17" s="53">
        <v>14584.3</v>
      </c>
      <c r="M17" s="54">
        <f t="shared" si="5"/>
        <v>3.8109999999956927</v>
      </c>
      <c r="N17" s="60">
        <f t="shared" ref="N17:N36" si="7">SUM(C17,E17,G17,I17,K17,M17)</f>
        <v>5431.1560000000745</v>
      </c>
    </row>
    <row r="18" spans="1:15" ht="28.5" customHeight="1" x14ac:dyDescent="0.25">
      <c r="A18" s="55">
        <v>13</v>
      </c>
      <c r="B18" s="53">
        <v>969065</v>
      </c>
      <c r="C18" s="54">
        <f t="shared" si="0"/>
        <v>2974.8</v>
      </c>
      <c r="D18" s="53">
        <v>69533.77</v>
      </c>
      <c r="E18" s="54">
        <f t="shared" si="1"/>
        <v>32.449000000015076</v>
      </c>
      <c r="F18" s="53">
        <v>7870</v>
      </c>
      <c r="G18" s="54">
        <f t="shared" si="2"/>
        <v>7.4</v>
      </c>
      <c r="H18" s="53">
        <v>2317.44</v>
      </c>
      <c r="I18" s="54">
        <f t="shared" si="3"/>
        <v>0.18500000000067304</v>
      </c>
      <c r="J18" s="53">
        <v>190172.3</v>
      </c>
      <c r="K18" s="54">
        <f t="shared" si="4"/>
        <v>234.39499999991386</v>
      </c>
      <c r="L18" s="53">
        <v>14594.64</v>
      </c>
      <c r="M18" s="54">
        <f t="shared" si="5"/>
        <v>38.258000000000543</v>
      </c>
      <c r="N18" s="60">
        <f t="shared" si="7"/>
        <v>3287.486999999931</v>
      </c>
    </row>
    <row r="19" spans="1:15" ht="28.5" customHeight="1" x14ac:dyDescent="0.25">
      <c r="A19" s="55">
        <v>14</v>
      </c>
      <c r="B19" s="53">
        <v>969950</v>
      </c>
      <c r="C19" s="54">
        <f t="shared" si="0"/>
        <v>3274.5</v>
      </c>
      <c r="D19" s="53">
        <v>69543.34</v>
      </c>
      <c r="E19" s="54">
        <f t="shared" si="1"/>
        <v>35.408999999972004</v>
      </c>
      <c r="F19" s="53">
        <v>7871.36</v>
      </c>
      <c r="G19" s="54">
        <f t="shared" si="2"/>
        <v>5.0319999999987886</v>
      </c>
      <c r="H19" s="53">
        <v>2317.4899999999998</v>
      </c>
      <c r="I19" s="54">
        <f t="shared" si="3"/>
        <v>0.18499999999899047</v>
      </c>
      <c r="J19" s="53">
        <v>190193.81</v>
      </c>
      <c r="K19" s="54">
        <f t="shared" si="4"/>
        <v>79.587000000034465</v>
      </c>
      <c r="L19" s="53">
        <v>14596.31</v>
      </c>
      <c r="M19" s="54">
        <f t="shared" si="5"/>
        <v>6.1790000000002694</v>
      </c>
      <c r="N19" s="60">
        <f t="shared" si="7"/>
        <v>3400.8920000000044</v>
      </c>
    </row>
    <row r="20" spans="1:15" ht="28.5" customHeight="1" x14ac:dyDescent="0.25">
      <c r="A20" s="55">
        <v>15</v>
      </c>
      <c r="B20" s="53">
        <v>970677</v>
      </c>
      <c r="C20" s="54">
        <f t="shared" si="0"/>
        <v>2689.9</v>
      </c>
      <c r="D20" s="53">
        <v>69553.52</v>
      </c>
      <c r="E20" s="54">
        <f t="shared" si="1"/>
        <v>37.666000000027999</v>
      </c>
      <c r="F20" s="53">
        <v>7872.39</v>
      </c>
      <c r="G20" s="54">
        <f t="shared" si="2"/>
        <v>3.8110000000024229</v>
      </c>
      <c r="H20" s="53">
        <v>2317.5</v>
      </c>
      <c r="I20" s="54">
        <f t="shared" si="3"/>
        <v>3.700000000080763E-2</v>
      </c>
      <c r="J20" s="53">
        <v>190216</v>
      </c>
      <c r="K20" s="54">
        <f t="shared" si="4"/>
        <v>82.10300000000862</v>
      </c>
      <c r="L20" s="53">
        <v>14598.51</v>
      </c>
      <c r="M20" s="54">
        <f t="shared" si="5"/>
        <v>8.1400000000026917</v>
      </c>
      <c r="N20" s="60">
        <f t="shared" si="7"/>
        <v>2821.6570000000424</v>
      </c>
    </row>
    <row r="21" spans="1:15" ht="28.5" customHeight="1" x14ac:dyDescent="0.25">
      <c r="A21" s="55">
        <v>16</v>
      </c>
      <c r="B21" s="53">
        <v>971753</v>
      </c>
      <c r="C21" s="54">
        <f t="shared" si="0"/>
        <v>3981.2000000000003</v>
      </c>
      <c r="D21" s="53">
        <v>69568.009999999995</v>
      </c>
      <c r="E21" s="54">
        <f t="shared" si="1"/>
        <v>53.612999999965545</v>
      </c>
      <c r="F21" s="53">
        <v>7874.26</v>
      </c>
      <c r="G21" s="54">
        <f t="shared" si="2"/>
        <v>6.9189999999995964</v>
      </c>
      <c r="H21" s="53">
        <v>2317.52</v>
      </c>
      <c r="I21" s="54">
        <f t="shared" si="3"/>
        <v>7.3999999999932703E-2</v>
      </c>
      <c r="J21" s="53">
        <v>190240.1</v>
      </c>
      <c r="K21" s="54">
        <f t="shared" si="4"/>
        <v>89.170000000021545</v>
      </c>
      <c r="L21" s="53">
        <v>14600.2</v>
      </c>
      <c r="M21" s="54">
        <f t="shared" si="5"/>
        <v>6.2530000000018848</v>
      </c>
      <c r="N21" s="60">
        <f t="shared" si="7"/>
        <v>4137.2289999999884</v>
      </c>
    </row>
    <row r="22" spans="1:15" ht="28.5" customHeight="1" x14ac:dyDescent="0.25">
      <c r="A22" s="55">
        <v>17</v>
      </c>
      <c r="B22" s="53">
        <v>972493</v>
      </c>
      <c r="C22" s="54">
        <f t="shared" si="0"/>
        <v>2738</v>
      </c>
      <c r="D22" s="53">
        <v>69575.960000000006</v>
      </c>
      <c r="E22" s="54">
        <f t="shared" si="1"/>
        <v>29.415000000043076</v>
      </c>
      <c r="F22" s="53">
        <v>7874.61</v>
      </c>
      <c r="G22" s="54">
        <f t="shared" si="2"/>
        <v>1.2949999999979809</v>
      </c>
      <c r="H22" s="53">
        <v>2317.56</v>
      </c>
      <c r="I22" s="54">
        <f t="shared" si="3"/>
        <v>0.14799999999986541</v>
      </c>
      <c r="J22" s="53">
        <v>190250.5</v>
      </c>
      <c r="K22" s="54">
        <f t="shared" si="4"/>
        <v>38.479999999978467</v>
      </c>
      <c r="L22" s="53">
        <v>14603.1</v>
      </c>
      <c r="M22" s="54">
        <f t="shared" si="5"/>
        <v>10.729999999998654</v>
      </c>
      <c r="N22" s="60">
        <f t="shared" si="7"/>
        <v>2818.0680000000179</v>
      </c>
    </row>
    <row r="23" spans="1:15" ht="28.5" customHeight="1" x14ac:dyDescent="0.25">
      <c r="A23" s="55">
        <v>18</v>
      </c>
      <c r="B23" s="53">
        <v>973156</v>
      </c>
      <c r="C23" s="54">
        <f t="shared" si="0"/>
        <v>2453.1</v>
      </c>
      <c r="D23" s="53">
        <v>69583.12</v>
      </c>
      <c r="E23" s="54">
        <f t="shared" si="1"/>
        <v>26.491999999959081</v>
      </c>
      <c r="F23" s="53">
        <v>7874.89</v>
      </c>
      <c r="G23" s="54">
        <f t="shared" si="2"/>
        <v>1.036000000002423</v>
      </c>
      <c r="H23" s="53">
        <v>2317.6</v>
      </c>
      <c r="I23" s="54">
        <f t="shared" si="3"/>
        <v>0.14799999999986541</v>
      </c>
      <c r="J23" s="53">
        <v>190278.1</v>
      </c>
      <c r="K23" s="54">
        <f t="shared" si="4"/>
        <v>102.12000000002155</v>
      </c>
      <c r="L23" s="53">
        <v>14605.28</v>
      </c>
      <c r="M23" s="54">
        <f t="shared" si="5"/>
        <v>8.0660000000010772</v>
      </c>
      <c r="N23" s="60">
        <f t="shared" si="7"/>
        <v>2590.9619999999841</v>
      </c>
    </row>
    <row r="24" spans="1:15" ht="28.5" customHeight="1" x14ac:dyDescent="0.25">
      <c r="A24" s="55">
        <v>19</v>
      </c>
      <c r="B24" s="53">
        <v>973916</v>
      </c>
      <c r="C24" s="54">
        <f t="shared" si="0"/>
        <v>2812</v>
      </c>
      <c r="D24" s="53">
        <v>69594.720000000001</v>
      </c>
      <c r="E24" s="54">
        <f t="shared" si="1"/>
        <v>42.920000000021538</v>
      </c>
      <c r="F24" s="53">
        <v>7877.31</v>
      </c>
      <c r="G24" s="54">
        <f t="shared" si="2"/>
        <v>8.9540000000002689</v>
      </c>
      <c r="H24" s="53">
        <v>2317.62</v>
      </c>
      <c r="I24" s="54">
        <f t="shared" si="3"/>
        <v>7.3999999999932703E-2</v>
      </c>
      <c r="J24" s="53">
        <v>190294.39999999999</v>
      </c>
      <c r="K24" s="54">
        <f t="shared" si="4"/>
        <v>60.309999999956929</v>
      </c>
      <c r="L24" s="53">
        <v>14608.99</v>
      </c>
      <c r="M24" s="54">
        <f t="shared" si="5"/>
        <v>13.726999999996771</v>
      </c>
      <c r="N24" s="60">
        <f t="shared" si="7"/>
        <v>2937.9849999999751</v>
      </c>
    </row>
    <row r="25" spans="1:15" ht="28.5" customHeight="1" x14ac:dyDescent="0.25">
      <c r="A25" s="55">
        <v>20</v>
      </c>
      <c r="B25" s="53">
        <v>974705</v>
      </c>
      <c r="C25" s="54">
        <f t="shared" si="0"/>
        <v>2919.3</v>
      </c>
      <c r="D25" s="53">
        <v>69607.259999999995</v>
      </c>
      <c r="E25" s="54">
        <f t="shared" si="1"/>
        <v>46.397999999976314</v>
      </c>
      <c r="F25" s="53">
        <v>7879.25</v>
      </c>
      <c r="G25" s="54">
        <f t="shared" si="2"/>
        <v>7.1779999999985193</v>
      </c>
      <c r="H25" s="53">
        <v>2317.63</v>
      </c>
      <c r="I25" s="54">
        <f t="shared" si="3"/>
        <v>3.700000000080763E-2</v>
      </c>
      <c r="J25" s="53">
        <v>190316.2</v>
      </c>
      <c r="K25" s="54">
        <f t="shared" si="4"/>
        <v>80.660000000064613</v>
      </c>
      <c r="L25" s="53">
        <v>14614.29</v>
      </c>
      <c r="M25" s="54">
        <f t="shared" si="5"/>
        <v>19.610000000004039</v>
      </c>
      <c r="N25" s="60">
        <f t="shared" si="7"/>
        <v>3073.1830000000446</v>
      </c>
    </row>
    <row r="26" spans="1:15" ht="28.5" customHeight="1" x14ac:dyDescent="0.25">
      <c r="A26" s="55">
        <v>21</v>
      </c>
      <c r="B26" s="53">
        <v>975449</v>
      </c>
      <c r="C26" s="54">
        <f t="shared" si="0"/>
        <v>2752.8</v>
      </c>
      <c r="D26" s="53">
        <v>69609.72</v>
      </c>
      <c r="E26" s="54">
        <f t="shared" si="1"/>
        <v>9.1020000000236916</v>
      </c>
      <c r="F26" s="53">
        <v>7880.97</v>
      </c>
      <c r="G26" s="54">
        <f t="shared" si="2"/>
        <v>6.3640000000009422</v>
      </c>
      <c r="H26" s="53">
        <v>2317.67</v>
      </c>
      <c r="I26" s="54">
        <f t="shared" si="3"/>
        <v>0.14799999999986541</v>
      </c>
      <c r="J26" s="53">
        <v>190342.2</v>
      </c>
      <c r="K26" s="54">
        <f t="shared" si="4"/>
        <v>96.2</v>
      </c>
      <c r="L26" s="53">
        <v>14616.92</v>
      </c>
      <c r="M26" s="54">
        <f t="shared" si="5"/>
        <v>9.7309999999970387</v>
      </c>
      <c r="N26" s="60">
        <f t="shared" si="7"/>
        <v>2874.3450000000212</v>
      </c>
    </row>
    <row r="27" spans="1:15" ht="28.5" customHeight="1" x14ac:dyDescent="0.25">
      <c r="A27" s="55">
        <v>22</v>
      </c>
      <c r="B27" s="53">
        <v>976201</v>
      </c>
      <c r="C27" s="54">
        <f t="shared" si="0"/>
        <v>2782.4</v>
      </c>
      <c r="D27" s="53">
        <v>69620.039999999994</v>
      </c>
      <c r="E27" s="54">
        <f t="shared" si="1"/>
        <v>38.183999999972002</v>
      </c>
      <c r="F27" s="53">
        <v>7882.06</v>
      </c>
      <c r="G27" s="54">
        <f t="shared" si="2"/>
        <v>4.0330000000005386</v>
      </c>
      <c r="H27" s="53">
        <v>2317.71</v>
      </c>
      <c r="I27" s="54">
        <f t="shared" si="3"/>
        <v>0.14799999999986541</v>
      </c>
      <c r="J27" s="53">
        <v>190365.4</v>
      </c>
      <c r="K27" s="54">
        <f t="shared" si="4"/>
        <v>85.839999999935387</v>
      </c>
      <c r="L27" s="53">
        <v>14620.44</v>
      </c>
      <c r="M27" s="54">
        <f t="shared" si="5"/>
        <v>13.024000000001616</v>
      </c>
      <c r="N27" s="60">
        <f t="shared" si="7"/>
        <v>2923.6289999999094</v>
      </c>
    </row>
    <row r="28" spans="1:15" ht="28.5" customHeight="1" x14ac:dyDescent="0.25">
      <c r="A28" s="55">
        <v>23</v>
      </c>
      <c r="B28" s="67">
        <v>977001</v>
      </c>
      <c r="C28" s="54">
        <f t="shared" si="0"/>
        <v>2960</v>
      </c>
      <c r="D28" s="53">
        <v>69629.3</v>
      </c>
      <c r="E28" s="54">
        <f t="shared" si="1"/>
        <v>34.262000000034462</v>
      </c>
      <c r="F28" s="53">
        <v>7883.24</v>
      </c>
      <c r="G28" s="54">
        <f t="shared" si="2"/>
        <v>4.3659999999977117</v>
      </c>
      <c r="H28" s="53">
        <v>2317.7399999999998</v>
      </c>
      <c r="I28" s="54">
        <f t="shared" si="3"/>
        <v>0.11099999999905777</v>
      </c>
      <c r="J28" s="53">
        <v>190386.2</v>
      </c>
      <c r="K28" s="54">
        <f t="shared" si="4"/>
        <v>76.960000000064611</v>
      </c>
      <c r="L28" s="53">
        <v>14625.52</v>
      </c>
      <c r="M28" s="54">
        <f t="shared" si="5"/>
        <v>18.795999999999733</v>
      </c>
      <c r="N28" s="60">
        <f t="shared" si="7"/>
        <v>3094.4950000000954</v>
      </c>
    </row>
    <row r="29" spans="1:15" ht="28.5" customHeight="1" x14ac:dyDescent="0.25">
      <c r="A29" s="55">
        <v>24</v>
      </c>
      <c r="B29" s="53">
        <v>977600</v>
      </c>
      <c r="C29" s="54">
        <f t="shared" si="0"/>
        <v>2216.3000000000002</v>
      </c>
      <c r="D29" s="53">
        <v>69639</v>
      </c>
      <c r="E29" s="54">
        <f t="shared" si="1"/>
        <v>35.889999999989236</v>
      </c>
      <c r="F29" s="53">
        <v>7884</v>
      </c>
      <c r="G29" s="54">
        <f t="shared" si="2"/>
        <v>2.8120000000008076</v>
      </c>
      <c r="H29" s="53">
        <v>2317.7800000000002</v>
      </c>
      <c r="I29" s="54">
        <f t="shared" si="3"/>
        <v>0.14800000000154798</v>
      </c>
      <c r="J29" s="53">
        <v>190405</v>
      </c>
      <c r="K29" s="54">
        <f t="shared" si="4"/>
        <v>69.559999999956929</v>
      </c>
      <c r="L29" s="53">
        <v>14629</v>
      </c>
      <c r="M29" s="54">
        <f t="shared" si="5"/>
        <v>12.875999999998385</v>
      </c>
      <c r="N29" s="60">
        <f t="shared" si="7"/>
        <v>2337.585999999947</v>
      </c>
    </row>
    <row r="30" spans="1:15" ht="28.5" customHeight="1" x14ac:dyDescent="0.25">
      <c r="A30" s="55">
        <v>25</v>
      </c>
      <c r="B30" s="53">
        <v>978316.7</v>
      </c>
      <c r="C30" s="54">
        <f t="shared" si="0"/>
        <v>2651.7899999998276</v>
      </c>
      <c r="D30" s="53">
        <v>69648.421000000002</v>
      </c>
      <c r="E30" s="54">
        <f t="shared" si="1"/>
        <v>34.857700000007753</v>
      </c>
      <c r="F30" s="53">
        <v>7885.4</v>
      </c>
      <c r="G30" s="54">
        <f t="shared" si="2"/>
        <v>5.1799999999986541</v>
      </c>
      <c r="H30" s="53">
        <v>2317.8200000000002</v>
      </c>
      <c r="I30" s="54">
        <f t="shared" si="3"/>
        <v>0.14799999999986541</v>
      </c>
      <c r="J30" s="53">
        <v>190427.4</v>
      </c>
      <c r="K30" s="54">
        <f t="shared" si="4"/>
        <v>82.879999999978466</v>
      </c>
      <c r="L30" s="53">
        <v>14631.23</v>
      </c>
      <c r="M30" s="54">
        <f t="shared" si="5"/>
        <v>8.2509999999983847</v>
      </c>
      <c r="N30" s="60">
        <f t="shared" si="7"/>
        <v>2783.1066999998102</v>
      </c>
      <c r="O30" s="57"/>
    </row>
    <row r="31" spans="1:15" ht="28.5" customHeight="1" x14ac:dyDescent="0.25">
      <c r="A31" s="55">
        <v>26</v>
      </c>
      <c r="B31" s="53">
        <v>979033</v>
      </c>
      <c r="C31" s="54">
        <f t="shared" si="0"/>
        <v>2650.3100000001723</v>
      </c>
      <c r="D31" s="53">
        <v>69660.95</v>
      </c>
      <c r="E31" s="54">
        <f t="shared" si="1"/>
        <v>46.357299999981478</v>
      </c>
      <c r="F31" s="53">
        <v>7886.72</v>
      </c>
      <c r="G31" s="54">
        <f t="shared" si="2"/>
        <v>4.8840000000022883</v>
      </c>
      <c r="H31" s="53">
        <v>2317.84</v>
      </c>
      <c r="I31" s="54">
        <f t="shared" si="3"/>
        <v>7.3999999999932703E-2</v>
      </c>
      <c r="J31" s="53">
        <v>190448.3</v>
      </c>
      <c r="K31" s="54">
        <f t="shared" si="4"/>
        <v>77.329999999978469</v>
      </c>
      <c r="L31" s="53">
        <v>14633.41</v>
      </c>
      <c r="M31" s="54">
        <f t="shared" si="5"/>
        <v>8.0660000000010772</v>
      </c>
      <c r="N31" s="60">
        <f t="shared" si="7"/>
        <v>2787.0213000001359</v>
      </c>
      <c r="O31" s="57"/>
    </row>
    <row r="32" spans="1:15" ht="28.5" customHeight="1" x14ac:dyDescent="0.25">
      <c r="A32" s="55">
        <v>27</v>
      </c>
      <c r="B32" s="53">
        <v>979745</v>
      </c>
      <c r="C32" s="54">
        <f t="shared" si="0"/>
        <v>2634.4</v>
      </c>
      <c r="D32" s="53">
        <v>69670.12</v>
      </c>
      <c r="E32" s="54">
        <f t="shared" si="1"/>
        <v>33.928999999993543</v>
      </c>
      <c r="F32" s="53">
        <v>7887.66</v>
      </c>
      <c r="G32" s="54">
        <f t="shared" si="2"/>
        <v>3.4779999999985196</v>
      </c>
      <c r="H32" s="53">
        <v>2317.86</v>
      </c>
      <c r="I32" s="54">
        <f t="shared" si="3"/>
        <v>7.3999999999932703E-2</v>
      </c>
      <c r="J32" s="53">
        <v>190475.3</v>
      </c>
      <c r="K32" s="54">
        <f t="shared" si="4"/>
        <v>99.9</v>
      </c>
      <c r="L32" s="53">
        <v>14638.96</v>
      </c>
      <c r="M32" s="54">
        <f t="shared" si="5"/>
        <v>20.534999999997307</v>
      </c>
      <c r="N32" s="60">
        <f>SUM(C32,E32,G32,I32,K32,M32)</f>
        <v>2792.3159999999898</v>
      </c>
    </row>
    <row r="33" spans="1:14" ht="28.5" customHeight="1" x14ac:dyDescent="0.25">
      <c r="A33" s="55">
        <v>28</v>
      </c>
      <c r="B33" s="53">
        <v>980456</v>
      </c>
      <c r="C33" s="54">
        <f t="shared" si="0"/>
        <v>2630.7000000000003</v>
      </c>
      <c r="D33" s="53">
        <v>69681.05</v>
      </c>
      <c r="E33" s="54">
        <f t="shared" si="1"/>
        <v>40.441000000027998</v>
      </c>
      <c r="F33" s="53">
        <v>7888.96</v>
      </c>
      <c r="G33" s="54">
        <f t="shared" si="2"/>
        <v>4.8100000000006728</v>
      </c>
      <c r="H33" s="53">
        <v>2317.89</v>
      </c>
      <c r="I33" s="54">
        <f t="shared" si="3"/>
        <v>0.11099999999905777</v>
      </c>
      <c r="J33" s="53">
        <v>190495.5</v>
      </c>
      <c r="K33" s="54">
        <f t="shared" si="4"/>
        <v>74.740000000043082</v>
      </c>
      <c r="L33" s="53">
        <v>14642.21</v>
      </c>
      <c r="M33" s="54">
        <f t="shared" si="5"/>
        <v>12.025</v>
      </c>
      <c r="N33" s="60">
        <f t="shared" si="7"/>
        <v>2762.8270000000712</v>
      </c>
    </row>
    <row r="34" spans="1:14" ht="28.5" customHeight="1" x14ac:dyDescent="0.25">
      <c r="A34" s="55">
        <v>29</v>
      </c>
      <c r="B34" s="67">
        <v>981150</v>
      </c>
      <c r="C34" s="54">
        <f t="shared" si="0"/>
        <v>2567.8000000000002</v>
      </c>
      <c r="D34" s="53">
        <v>69689.039999999994</v>
      </c>
      <c r="E34" s="54">
        <f t="shared" si="1"/>
        <v>29.562999999965541</v>
      </c>
      <c r="F34" s="53">
        <v>7890.2</v>
      </c>
      <c r="G34" s="54">
        <f t="shared" si="2"/>
        <v>4.5879999999991927</v>
      </c>
      <c r="H34" s="53">
        <v>2317.91</v>
      </c>
      <c r="I34" s="54">
        <f t="shared" si="3"/>
        <v>7.3999999999932703E-2</v>
      </c>
      <c r="J34" s="53">
        <v>190517</v>
      </c>
      <c r="K34" s="54">
        <f t="shared" si="4"/>
        <v>79.55</v>
      </c>
      <c r="L34" s="53">
        <v>14644.57</v>
      </c>
      <c r="M34" s="54">
        <f t="shared" si="5"/>
        <v>8.732000000002154</v>
      </c>
      <c r="N34" s="60">
        <f t="shared" si="7"/>
        <v>2690.3069999999675</v>
      </c>
    </row>
    <row r="35" spans="1:14" ht="28.5" customHeight="1" x14ac:dyDescent="0.25">
      <c r="A35" s="55">
        <v>30</v>
      </c>
      <c r="B35" s="53">
        <v>981795</v>
      </c>
      <c r="C35" s="54">
        <f t="shared" si="0"/>
        <v>2386.5</v>
      </c>
      <c r="D35" s="53">
        <v>69699.259999999995</v>
      </c>
      <c r="E35" s="54">
        <f t="shared" si="1"/>
        <v>37.814000000004306</v>
      </c>
      <c r="F35" s="53">
        <v>7891.17</v>
      </c>
      <c r="G35" s="54">
        <f t="shared" si="2"/>
        <v>3.5890000000009423</v>
      </c>
      <c r="H35" s="53">
        <v>2318.04</v>
      </c>
      <c r="I35" s="54">
        <f t="shared" si="3"/>
        <v>0.48100000000040383</v>
      </c>
      <c r="J35" s="53">
        <v>190537.8</v>
      </c>
      <c r="K35" s="54">
        <f t="shared" si="4"/>
        <v>76.959999999956935</v>
      </c>
      <c r="L35" s="53">
        <v>14647.76</v>
      </c>
      <c r="M35" s="54">
        <f t="shared" si="5"/>
        <v>11.803000000001886</v>
      </c>
      <c r="N35" s="60">
        <f t="shared" si="7"/>
        <v>2517.146999999964</v>
      </c>
    </row>
    <row r="36" spans="1:14" ht="28.5" customHeight="1" x14ac:dyDescent="0.25">
      <c r="A36" s="55">
        <v>31</v>
      </c>
      <c r="B36" s="53"/>
      <c r="C36" s="54"/>
      <c r="D36" s="53"/>
      <c r="E36" s="54"/>
      <c r="F36" s="53"/>
      <c r="G36" s="54"/>
      <c r="H36" s="53"/>
      <c r="I36" s="54"/>
      <c r="J36" s="53"/>
      <c r="K36" s="54"/>
      <c r="L36" s="53"/>
      <c r="M36" s="54"/>
      <c r="N36" s="60">
        <f t="shared" si="7"/>
        <v>0</v>
      </c>
    </row>
    <row r="37" spans="1:14" x14ac:dyDescent="0.25">
      <c r="A37" s="94" t="s">
        <v>83</v>
      </c>
      <c r="B37" s="94"/>
      <c r="C37" s="58">
        <f>SUM(C6:C36)</f>
        <v>83331.400000000009</v>
      </c>
      <c r="E37" s="58">
        <f>SUM(E6:E36)</f>
        <v>999.96199999998055</v>
      </c>
      <c r="G37" s="58">
        <f>SUM(G6:G36)</f>
        <v>137.41800000000123</v>
      </c>
      <c r="I37" s="58">
        <f>SUM(I6:I36)</f>
        <v>9.2869999999991233</v>
      </c>
      <c r="K37" s="58">
        <f>SUM(K6:K36)</f>
        <v>2406.1099999999574</v>
      </c>
      <c r="M37" s="58">
        <f>SUM(M6:M36)</f>
        <v>334.51699999999937</v>
      </c>
    </row>
    <row r="39" spans="1:14" x14ac:dyDescent="0.25">
      <c r="A39" s="95" t="s">
        <v>84</v>
      </c>
      <c r="B39" s="95"/>
      <c r="C39" s="96">
        <f>SUM(C37)</f>
        <v>83331.400000000009</v>
      </c>
      <c r="D39" s="96"/>
    </row>
    <row r="40" spans="1:14" x14ac:dyDescent="0.25">
      <c r="A40" s="95" t="s">
        <v>85</v>
      </c>
      <c r="B40" s="95"/>
      <c r="C40" s="96">
        <f>SUM(E37,G37,I37,K37,M37)</f>
        <v>3887.2939999999376</v>
      </c>
      <c r="D40" s="96"/>
    </row>
    <row r="41" spans="1:14" ht="47.25" customHeight="1" x14ac:dyDescent="0.25">
      <c r="A41" s="91" t="s">
        <v>86</v>
      </c>
      <c r="B41" s="91"/>
      <c r="C41" s="90">
        <f>SUM(C39:D40)</f>
        <v>87218.693999999945</v>
      </c>
      <c r="D41" s="90"/>
    </row>
  </sheetData>
  <mergeCells count="20">
    <mergeCell ref="H4:I4"/>
    <mergeCell ref="J4:K4"/>
    <mergeCell ref="L4:M4"/>
    <mergeCell ref="A1:M1"/>
    <mergeCell ref="B3:C3"/>
    <mergeCell ref="D3:E3"/>
    <mergeCell ref="F3:G3"/>
    <mergeCell ref="H3:I3"/>
    <mergeCell ref="J3:K3"/>
    <mergeCell ref="L3:M3"/>
    <mergeCell ref="C41:D41"/>
    <mergeCell ref="A41:B41"/>
    <mergeCell ref="B4:C4"/>
    <mergeCell ref="D4:E4"/>
    <mergeCell ref="F4:G4"/>
    <mergeCell ref="A37:B37"/>
    <mergeCell ref="A39:B39"/>
    <mergeCell ref="C39:D39"/>
    <mergeCell ref="A40:B40"/>
    <mergeCell ref="C40:D40"/>
  </mergeCells>
  <printOptions horizontalCentered="1"/>
  <pageMargins left="0" right="0" top="0" bottom="0" header="0.3" footer="0.3"/>
  <pageSetup paperSize="9" scale="71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9" activePane="bottomRight" state="frozen"/>
      <selection pane="topRight" activeCell="D1" sqref="D1"/>
      <selection pane="bottomLeft" activeCell="A5" sqref="A5"/>
      <selection pane="bottomRight" activeCell="E16" sqref="E16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101" t="s">
        <v>96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</row>
    <row r="3" spans="1:42" s="8" customFormat="1" ht="30" customHeight="1" thickBot="1" x14ac:dyDescent="0.3"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88</v>
      </c>
      <c r="AH4" s="29" t="s">
        <v>89</v>
      </c>
      <c r="AI4" s="29"/>
    </row>
    <row r="5" spans="1:42" s="8" customFormat="1" ht="40.5" customHeight="1" thickBot="1" x14ac:dyDescent="0.3">
      <c r="A5" s="104" t="s">
        <v>20</v>
      </c>
      <c r="B5" s="27" t="s">
        <v>48</v>
      </c>
      <c r="C5" s="106" t="s">
        <v>49</v>
      </c>
      <c r="D5" s="31">
        <v>98143</v>
      </c>
      <c r="E5" s="31">
        <v>98404</v>
      </c>
      <c r="F5" s="31">
        <v>98673</v>
      </c>
      <c r="G5" s="31">
        <v>98951</v>
      </c>
      <c r="H5" s="31">
        <v>99233</v>
      </c>
      <c r="I5" s="31">
        <v>99515</v>
      </c>
      <c r="J5" s="31">
        <v>99766</v>
      </c>
      <c r="K5" s="31">
        <v>100043</v>
      </c>
      <c r="L5" s="31">
        <v>100287</v>
      </c>
      <c r="M5" s="31">
        <v>100595</v>
      </c>
      <c r="N5" s="31">
        <v>100881</v>
      </c>
      <c r="O5" s="31">
        <v>101249</v>
      </c>
      <c r="P5" s="31">
        <v>101650</v>
      </c>
      <c r="Q5" s="31">
        <v>102029</v>
      </c>
      <c r="R5" s="31">
        <v>102390</v>
      </c>
      <c r="S5" s="31">
        <v>102707</v>
      </c>
      <c r="T5" s="31">
        <v>103011</v>
      </c>
      <c r="U5" s="31">
        <v>103315</v>
      </c>
      <c r="V5" s="31">
        <v>103608</v>
      </c>
      <c r="W5" s="31">
        <v>103960</v>
      </c>
      <c r="X5" s="31">
        <v>104331</v>
      </c>
      <c r="Y5" s="31">
        <v>104694</v>
      </c>
      <c r="Z5" s="31">
        <v>104933</v>
      </c>
      <c r="AA5" s="31">
        <v>105090</v>
      </c>
      <c r="AB5" s="31">
        <v>105239</v>
      </c>
      <c r="AC5" s="31">
        <v>106109</v>
      </c>
      <c r="AD5" s="31">
        <v>106742</v>
      </c>
      <c r="AE5" s="31">
        <v>107098</v>
      </c>
      <c r="AF5" s="31">
        <v>107496</v>
      </c>
      <c r="AG5" s="31">
        <v>107847</v>
      </c>
      <c r="AH5" s="31">
        <v>108007</v>
      </c>
      <c r="AI5" s="31"/>
    </row>
    <row r="6" spans="1:42" s="34" customFormat="1" ht="25.7" customHeight="1" thickBot="1" x14ac:dyDescent="0.3">
      <c r="A6" s="105"/>
      <c r="B6" s="32"/>
      <c r="C6" s="106"/>
      <c r="D6" s="33"/>
      <c r="E6" s="33">
        <f t="shared" ref="E6:L6" si="0">E5-D5</f>
        <v>261</v>
      </c>
      <c r="F6" s="33">
        <f t="shared" si="0"/>
        <v>269</v>
      </c>
      <c r="G6" s="33">
        <f t="shared" si="0"/>
        <v>278</v>
      </c>
      <c r="H6" s="33">
        <f t="shared" si="0"/>
        <v>282</v>
      </c>
      <c r="I6" s="33">
        <f t="shared" si="0"/>
        <v>282</v>
      </c>
      <c r="J6" s="33">
        <f t="shared" si="0"/>
        <v>251</v>
      </c>
      <c r="K6" s="33">
        <f t="shared" si="0"/>
        <v>277</v>
      </c>
      <c r="L6" s="33">
        <f t="shared" si="0"/>
        <v>244</v>
      </c>
      <c r="M6" s="33">
        <f t="shared" ref="M6:AH6" si="1">M5-L5</f>
        <v>308</v>
      </c>
      <c r="N6" s="33">
        <f>N5-M5</f>
        <v>286</v>
      </c>
      <c r="O6" s="33">
        <f>O5-N5</f>
        <v>368</v>
      </c>
      <c r="P6" s="33">
        <f t="shared" si="1"/>
        <v>401</v>
      </c>
      <c r="Q6" s="33">
        <f t="shared" si="1"/>
        <v>379</v>
      </c>
      <c r="R6" s="33">
        <f t="shared" si="1"/>
        <v>361</v>
      </c>
      <c r="S6" s="33">
        <f t="shared" si="1"/>
        <v>317</v>
      </c>
      <c r="T6" s="33">
        <f t="shared" si="1"/>
        <v>304</v>
      </c>
      <c r="U6" s="33">
        <f>U5-T5</f>
        <v>304</v>
      </c>
      <c r="V6" s="33">
        <f t="shared" si="1"/>
        <v>293</v>
      </c>
      <c r="W6" s="33">
        <f t="shared" si="1"/>
        <v>352</v>
      </c>
      <c r="X6" s="33">
        <f t="shared" si="1"/>
        <v>371</v>
      </c>
      <c r="Y6" s="33">
        <f t="shared" si="1"/>
        <v>363</v>
      </c>
      <c r="Z6" s="33">
        <f t="shared" si="1"/>
        <v>239</v>
      </c>
      <c r="AA6" s="33">
        <f t="shared" si="1"/>
        <v>157</v>
      </c>
      <c r="AB6" s="33">
        <f t="shared" si="1"/>
        <v>149</v>
      </c>
      <c r="AC6" s="33">
        <f t="shared" si="1"/>
        <v>870</v>
      </c>
      <c r="AD6" s="33">
        <f t="shared" si="1"/>
        <v>633</v>
      </c>
      <c r="AE6" s="33">
        <f t="shared" si="1"/>
        <v>356</v>
      </c>
      <c r="AF6" s="33">
        <f t="shared" si="1"/>
        <v>398</v>
      </c>
      <c r="AG6" s="33">
        <f t="shared" si="1"/>
        <v>351</v>
      </c>
      <c r="AH6" s="33">
        <f t="shared" si="1"/>
        <v>160</v>
      </c>
      <c r="AI6" s="33"/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104" t="s">
        <v>22</v>
      </c>
      <c r="B7" s="49" t="s">
        <v>69</v>
      </c>
      <c r="C7" s="106" t="s">
        <v>70</v>
      </c>
      <c r="D7" s="31">
        <v>401203.4</v>
      </c>
      <c r="E7" s="31">
        <v>401219.4</v>
      </c>
      <c r="F7" s="31">
        <v>401235.20000000001</v>
      </c>
      <c r="G7" s="31">
        <v>401252.5</v>
      </c>
      <c r="H7" s="31">
        <v>401270.1</v>
      </c>
      <c r="I7" s="31">
        <v>401288.3</v>
      </c>
      <c r="J7" s="31">
        <v>401301</v>
      </c>
      <c r="K7" s="31">
        <v>401320</v>
      </c>
      <c r="L7" s="31">
        <v>401339</v>
      </c>
      <c r="M7" s="31">
        <v>401361.9</v>
      </c>
      <c r="N7" s="31">
        <v>401375.3</v>
      </c>
      <c r="O7" s="31">
        <v>401391.6</v>
      </c>
      <c r="P7" s="31">
        <v>401414.8</v>
      </c>
      <c r="Q7" s="31">
        <v>401438.1</v>
      </c>
      <c r="R7" s="31">
        <v>401454.3</v>
      </c>
      <c r="S7" s="31">
        <v>401478.5</v>
      </c>
      <c r="T7" s="31">
        <v>401490.5</v>
      </c>
      <c r="U7" s="31">
        <v>401504.2</v>
      </c>
      <c r="V7" s="31">
        <v>401517.5</v>
      </c>
      <c r="W7" s="31">
        <v>401531.2</v>
      </c>
      <c r="X7" s="31">
        <v>401543.7</v>
      </c>
      <c r="Y7" s="31">
        <v>401560.6</v>
      </c>
      <c r="Z7" s="31">
        <v>401580</v>
      </c>
      <c r="AA7" s="31">
        <v>401602</v>
      </c>
      <c r="AB7" s="31">
        <v>401625.1</v>
      </c>
      <c r="AC7" s="31">
        <v>401635.1</v>
      </c>
      <c r="AD7" s="31">
        <v>401655.1</v>
      </c>
      <c r="AE7" s="31">
        <v>401685.1</v>
      </c>
      <c r="AF7" s="31">
        <v>401700.4</v>
      </c>
      <c r="AG7" s="31">
        <v>401718.4</v>
      </c>
      <c r="AH7" s="31">
        <v>401753</v>
      </c>
      <c r="AI7" s="31"/>
    </row>
    <row r="8" spans="1:42" s="34" customFormat="1" ht="25.7" customHeight="1" thickBot="1" x14ac:dyDescent="0.3">
      <c r="A8" s="105"/>
      <c r="B8" s="47"/>
      <c r="C8" s="106"/>
      <c r="D8" s="33"/>
      <c r="E8" s="33">
        <f>E7-D7</f>
        <v>16</v>
      </c>
      <c r="F8" s="33">
        <f t="shared" ref="F8:AH8" si="2">F7-E7</f>
        <v>15.799999999988358</v>
      </c>
      <c r="G8" s="33">
        <f t="shared" si="2"/>
        <v>17.299999999988358</v>
      </c>
      <c r="H8" s="33">
        <f t="shared" si="2"/>
        <v>17.599999999976717</v>
      </c>
      <c r="I8" s="33">
        <f t="shared" si="2"/>
        <v>18.200000000011642</v>
      </c>
      <c r="J8" s="33">
        <f t="shared" si="2"/>
        <v>12.700000000011642</v>
      </c>
      <c r="K8" s="33">
        <f t="shared" si="2"/>
        <v>19</v>
      </c>
      <c r="L8" s="33">
        <f t="shared" si="2"/>
        <v>19</v>
      </c>
      <c r="M8" s="33">
        <f t="shared" si="2"/>
        <v>22.900000000023283</v>
      </c>
      <c r="N8" s="33">
        <f t="shared" si="2"/>
        <v>13.399999999965075</v>
      </c>
      <c r="O8" s="33">
        <f t="shared" si="2"/>
        <v>16.299999999988358</v>
      </c>
      <c r="P8" s="33">
        <f t="shared" si="2"/>
        <v>23.200000000011642</v>
      </c>
      <c r="Q8" s="33">
        <f t="shared" si="2"/>
        <v>23.299999999988358</v>
      </c>
      <c r="R8" s="33">
        <f t="shared" si="2"/>
        <v>16.200000000011642</v>
      </c>
      <c r="S8" s="33">
        <f t="shared" si="2"/>
        <v>24.200000000011642</v>
      </c>
      <c r="T8" s="33">
        <f t="shared" si="2"/>
        <v>12</v>
      </c>
      <c r="U8" s="33">
        <f t="shared" si="2"/>
        <v>13.700000000011642</v>
      </c>
      <c r="V8" s="33">
        <f t="shared" si="2"/>
        <v>13.299999999988358</v>
      </c>
      <c r="W8" s="33">
        <f t="shared" si="2"/>
        <v>13.700000000011642</v>
      </c>
      <c r="X8" s="33">
        <f t="shared" si="2"/>
        <v>12.5</v>
      </c>
      <c r="Y8" s="33">
        <f t="shared" si="2"/>
        <v>16.899999999965075</v>
      </c>
      <c r="Z8" s="33">
        <f t="shared" si="2"/>
        <v>19.400000000023283</v>
      </c>
      <c r="AA8" s="33">
        <f t="shared" si="2"/>
        <v>22</v>
      </c>
      <c r="AB8" s="33">
        <f t="shared" si="2"/>
        <v>23.099999999976717</v>
      </c>
      <c r="AC8" s="33">
        <f t="shared" si="2"/>
        <v>10</v>
      </c>
      <c r="AD8" s="33">
        <f t="shared" si="2"/>
        <v>20</v>
      </c>
      <c r="AE8" s="33">
        <f t="shared" si="2"/>
        <v>30</v>
      </c>
      <c r="AF8" s="33">
        <f>AF7-AE7</f>
        <v>15.300000000046566</v>
      </c>
      <c r="AG8" s="33">
        <f t="shared" si="2"/>
        <v>18</v>
      </c>
      <c r="AH8" s="33">
        <f t="shared" si="2"/>
        <v>34.599999999976717</v>
      </c>
      <c r="AI8" s="33"/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104">
        <v>4</v>
      </c>
      <c r="B9" s="46" t="s">
        <v>67</v>
      </c>
      <c r="C9" s="106" t="s">
        <v>68</v>
      </c>
      <c r="D9" s="68">
        <v>72069</v>
      </c>
      <c r="E9" s="68">
        <v>72069</v>
      </c>
      <c r="F9" s="68">
        <v>72069</v>
      </c>
      <c r="G9" s="68">
        <v>72069</v>
      </c>
      <c r="H9" s="68">
        <v>72069</v>
      </c>
      <c r="I9" s="68">
        <v>72069</v>
      </c>
      <c r="J9" s="68">
        <v>72069</v>
      </c>
      <c r="K9" s="68">
        <v>72070</v>
      </c>
      <c r="L9" s="68">
        <v>72070</v>
      </c>
      <c r="M9" s="68">
        <v>72070</v>
      </c>
      <c r="N9" s="68">
        <v>72070</v>
      </c>
      <c r="O9" s="68">
        <v>72070</v>
      </c>
      <c r="P9" s="68">
        <v>72070</v>
      </c>
      <c r="Q9" s="68">
        <v>72070</v>
      </c>
      <c r="R9" s="68">
        <v>72070</v>
      </c>
      <c r="S9" s="68">
        <v>72070</v>
      </c>
      <c r="T9" s="68">
        <v>72070</v>
      </c>
      <c r="U9" s="68">
        <v>72070</v>
      </c>
      <c r="V9" s="68">
        <v>72070</v>
      </c>
      <c r="W9" s="68">
        <v>72070</v>
      </c>
      <c r="X9" s="68">
        <v>72070</v>
      </c>
      <c r="Y9" s="68">
        <v>72070</v>
      </c>
      <c r="Z9" s="68">
        <v>72070</v>
      </c>
      <c r="AA9" s="68">
        <v>72070</v>
      </c>
      <c r="AB9" s="68">
        <v>72070</v>
      </c>
      <c r="AC9" s="68">
        <v>72070</v>
      </c>
      <c r="AD9" s="68">
        <v>72070</v>
      </c>
      <c r="AE9" s="68">
        <v>72070</v>
      </c>
      <c r="AF9" s="68">
        <v>72070</v>
      </c>
      <c r="AG9" s="68">
        <v>72070</v>
      </c>
      <c r="AH9" s="68">
        <v>72070</v>
      </c>
      <c r="AI9" s="31"/>
    </row>
    <row r="10" spans="1:42" s="34" customFormat="1" ht="25.7" customHeight="1" thickBot="1" x14ac:dyDescent="0.3">
      <c r="A10" s="105"/>
      <c r="B10" s="47"/>
      <c r="C10" s="106"/>
      <c r="D10" s="33"/>
      <c r="E10" s="33">
        <f t="shared" ref="E10:AH10" si="3">E9-D9</f>
        <v>0</v>
      </c>
      <c r="F10" s="33">
        <f t="shared" si="3"/>
        <v>0</v>
      </c>
      <c r="G10" s="33">
        <f t="shared" si="3"/>
        <v>0</v>
      </c>
      <c r="H10" s="33">
        <f t="shared" si="3"/>
        <v>0</v>
      </c>
      <c r="I10" s="33">
        <f t="shared" si="3"/>
        <v>0</v>
      </c>
      <c r="J10" s="33">
        <f t="shared" si="3"/>
        <v>0</v>
      </c>
      <c r="K10" s="33">
        <f t="shared" si="3"/>
        <v>1</v>
      </c>
      <c r="L10" s="33">
        <f t="shared" si="3"/>
        <v>0</v>
      </c>
      <c r="M10" s="33">
        <f t="shared" si="3"/>
        <v>0</v>
      </c>
      <c r="N10" s="33">
        <f t="shared" si="3"/>
        <v>0</v>
      </c>
      <c r="O10" s="33">
        <f t="shared" si="3"/>
        <v>0</v>
      </c>
      <c r="P10" s="33">
        <f t="shared" si="3"/>
        <v>0</v>
      </c>
      <c r="Q10" s="33">
        <f t="shared" si="3"/>
        <v>0</v>
      </c>
      <c r="R10" s="33">
        <f t="shared" si="3"/>
        <v>0</v>
      </c>
      <c r="S10" s="33">
        <f t="shared" si="3"/>
        <v>0</v>
      </c>
      <c r="T10" s="33">
        <f t="shared" si="3"/>
        <v>0</v>
      </c>
      <c r="U10" s="33">
        <f t="shared" si="3"/>
        <v>0</v>
      </c>
      <c r="V10" s="33">
        <f t="shared" si="3"/>
        <v>0</v>
      </c>
      <c r="W10" s="33">
        <f t="shared" si="3"/>
        <v>0</v>
      </c>
      <c r="X10" s="33">
        <f t="shared" si="3"/>
        <v>0</v>
      </c>
      <c r="Y10" s="33">
        <f t="shared" si="3"/>
        <v>0</v>
      </c>
      <c r="Z10" s="33">
        <f t="shared" si="3"/>
        <v>0</v>
      </c>
      <c r="AA10" s="33">
        <f t="shared" si="3"/>
        <v>0</v>
      </c>
      <c r="AB10" s="33">
        <f t="shared" si="3"/>
        <v>0</v>
      </c>
      <c r="AC10" s="33">
        <f t="shared" si="3"/>
        <v>0</v>
      </c>
      <c r="AD10" s="33">
        <f t="shared" si="3"/>
        <v>0</v>
      </c>
      <c r="AE10" s="33">
        <f t="shared" si="3"/>
        <v>0</v>
      </c>
      <c r="AF10" s="33">
        <f t="shared" si="3"/>
        <v>0</v>
      </c>
      <c r="AG10" s="33">
        <f t="shared" si="3"/>
        <v>0</v>
      </c>
      <c r="AH10" s="33">
        <f t="shared" si="3"/>
        <v>0</v>
      </c>
      <c r="AI10" s="33"/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107">
        <v>5</v>
      </c>
      <c r="B11" s="27">
        <v>68864837</v>
      </c>
      <c r="C11" s="106" t="s">
        <v>74</v>
      </c>
      <c r="D11" s="31">
        <v>1891.146</v>
      </c>
      <c r="E11" s="31">
        <v>1892.61</v>
      </c>
      <c r="F11" s="31">
        <v>1893.5920000000001</v>
      </c>
      <c r="G11" s="31">
        <v>1894.3040000000001</v>
      </c>
      <c r="H11" s="31">
        <v>1894.942</v>
      </c>
      <c r="I11" s="31">
        <v>1895.808</v>
      </c>
      <c r="J11" s="31">
        <v>1897.4349999999999</v>
      </c>
      <c r="K11" s="31">
        <v>1898.6559999999999</v>
      </c>
      <c r="L11" s="31">
        <v>1899.115</v>
      </c>
      <c r="M11" s="31">
        <v>1899.873</v>
      </c>
      <c r="N11" s="31">
        <v>1900.43</v>
      </c>
      <c r="O11" s="31">
        <v>1901.7829999999999</v>
      </c>
      <c r="P11" s="31">
        <v>1905.5940000000001</v>
      </c>
      <c r="Q11" s="31">
        <v>1907.472</v>
      </c>
      <c r="R11" s="31">
        <v>1908.9829999999999</v>
      </c>
      <c r="S11" s="31">
        <v>1910.0050000000001</v>
      </c>
      <c r="T11" s="31">
        <v>1910.8889999999999</v>
      </c>
      <c r="U11" s="31">
        <v>1912.1759999999999</v>
      </c>
      <c r="V11" s="31">
        <v>1912.88</v>
      </c>
      <c r="W11" s="31">
        <v>1914.931</v>
      </c>
      <c r="X11" s="31">
        <v>1917.752</v>
      </c>
      <c r="Y11" s="31">
        <v>1920.364</v>
      </c>
      <c r="Z11" s="31">
        <v>1922.2929999999999</v>
      </c>
      <c r="AA11" s="31">
        <v>1923.7190000000001</v>
      </c>
      <c r="AB11" s="31">
        <v>1924.924</v>
      </c>
      <c r="AC11" s="31">
        <v>1925.9280000000001</v>
      </c>
      <c r="AD11" s="31">
        <v>1927.221</v>
      </c>
      <c r="AE11" s="31">
        <v>1928.62</v>
      </c>
      <c r="AF11" s="31">
        <v>1931.049</v>
      </c>
      <c r="AG11" s="31">
        <v>1932.874</v>
      </c>
      <c r="AH11" s="31">
        <v>1933.9849999999999</v>
      </c>
      <c r="AI11" s="31"/>
    </row>
    <row r="12" spans="1:42" s="8" customFormat="1" ht="25.7" customHeight="1" thickBot="1" x14ac:dyDescent="0.3">
      <c r="A12" s="108"/>
      <c r="B12" s="48"/>
      <c r="C12" s="106"/>
      <c r="D12" s="33"/>
      <c r="E12" s="33">
        <f>E11-D11</f>
        <v>1.4639999999999418</v>
      </c>
      <c r="F12" s="33">
        <f t="shared" ref="F12:AH12" si="4">F11-E11</f>
        <v>0.98200000000019827</v>
      </c>
      <c r="G12" s="33">
        <f t="shared" si="4"/>
        <v>0.71199999999998909</v>
      </c>
      <c r="H12" s="33">
        <f t="shared" si="4"/>
        <v>0.63799999999991996</v>
      </c>
      <c r="I12" s="33">
        <f t="shared" si="4"/>
        <v>0.86599999999998545</v>
      </c>
      <c r="J12" s="33">
        <f t="shared" si="4"/>
        <v>1.6269999999999527</v>
      </c>
      <c r="K12" s="33">
        <f t="shared" si="4"/>
        <v>1.2210000000000036</v>
      </c>
      <c r="L12" s="33">
        <f t="shared" si="4"/>
        <v>0.45900000000006003</v>
      </c>
      <c r="M12" s="33">
        <f t="shared" si="4"/>
        <v>0.7580000000000382</v>
      </c>
      <c r="N12" s="33">
        <f t="shared" si="4"/>
        <v>0.55700000000001637</v>
      </c>
      <c r="O12" s="33">
        <f t="shared" si="4"/>
        <v>1.3529999999998381</v>
      </c>
      <c r="P12" s="33">
        <f t="shared" si="4"/>
        <v>3.8110000000001492</v>
      </c>
      <c r="Q12" s="33">
        <f t="shared" si="4"/>
        <v>1.8779999999999291</v>
      </c>
      <c r="R12" s="33">
        <f t="shared" si="4"/>
        <v>1.5109999999999673</v>
      </c>
      <c r="S12" s="33">
        <f t="shared" si="4"/>
        <v>1.0220000000001619</v>
      </c>
      <c r="T12" s="33">
        <f t="shared" si="4"/>
        <v>0.88399999999978718</v>
      </c>
      <c r="U12" s="33">
        <f t="shared" si="4"/>
        <v>1.2870000000000346</v>
      </c>
      <c r="V12" s="33">
        <f t="shared" si="4"/>
        <v>0.70400000000017826</v>
      </c>
      <c r="W12" s="33">
        <f t="shared" si="4"/>
        <v>2.0509999999999309</v>
      </c>
      <c r="X12" s="33">
        <f t="shared" si="4"/>
        <v>2.8209999999999127</v>
      </c>
      <c r="Y12" s="33">
        <f t="shared" si="4"/>
        <v>2.61200000000008</v>
      </c>
      <c r="Z12" s="33">
        <f t="shared" si="4"/>
        <v>1.9289999999998599</v>
      </c>
      <c r="AA12" s="33">
        <f t="shared" si="4"/>
        <v>1.4260000000001583</v>
      </c>
      <c r="AB12" s="33">
        <f t="shared" si="4"/>
        <v>1.2049999999999272</v>
      </c>
      <c r="AC12" s="33">
        <f t="shared" si="4"/>
        <v>1.0040000000001328</v>
      </c>
      <c r="AD12" s="33">
        <f t="shared" si="4"/>
        <v>1.2929999999998927</v>
      </c>
      <c r="AE12" s="33">
        <f t="shared" si="4"/>
        <v>1.3989999999998872</v>
      </c>
      <c r="AF12" s="33">
        <f t="shared" si="4"/>
        <v>2.4290000000000873</v>
      </c>
      <c r="AG12" s="33">
        <f t="shared" si="4"/>
        <v>1.8250000000000455</v>
      </c>
      <c r="AH12" s="33">
        <f t="shared" si="4"/>
        <v>1.1109999999998763</v>
      </c>
      <c r="AI12" s="33"/>
    </row>
    <row r="13" spans="1:42" s="8" customFormat="1" ht="25.7" customHeight="1" thickBot="1" x14ac:dyDescent="0.3">
      <c r="A13" s="107">
        <v>6</v>
      </c>
      <c r="B13" s="27">
        <v>65296485</v>
      </c>
      <c r="C13" s="106" t="s">
        <v>73</v>
      </c>
      <c r="D13" s="31">
        <v>2290.0749999999998</v>
      </c>
      <c r="E13" s="31">
        <v>2292.5500000000002</v>
      </c>
      <c r="F13" s="31">
        <v>2293.549</v>
      </c>
      <c r="G13" s="31">
        <v>2295.8989999999999</v>
      </c>
      <c r="H13" s="31">
        <v>2298.3560000000002</v>
      </c>
      <c r="I13" s="31">
        <v>2300.9360000000001</v>
      </c>
      <c r="J13" s="31">
        <v>2304.9630000000002</v>
      </c>
      <c r="K13" s="31">
        <v>2306.614</v>
      </c>
      <c r="L13" s="31">
        <v>2307.4279999999999</v>
      </c>
      <c r="M13" s="31">
        <v>2310.3380000000002</v>
      </c>
      <c r="N13" s="31">
        <v>2315.23</v>
      </c>
      <c r="O13" s="31">
        <v>2317.1610000000001</v>
      </c>
      <c r="P13" s="31">
        <v>2321.91</v>
      </c>
      <c r="Q13" s="31">
        <v>2325.0500000000002</v>
      </c>
      <c r="R13" s="31">
        <v>2327.91</v>
      </c>
      <c r="S13" s="31">
        <v>2329.9839999999999</v>
      </c>
      <c r="T13" s="31">
        <v>2331.33</v>
      </c>
      <c r="U13" s="31">
        <v>2331.806</v>
      </c>
      <c r="V13" s="31">
        <v>2331.9050000000002</v>
      </c>
      <c r="W13" s="31">
        <v>2339.2640000000001</v>
      </c>
      <c r="X13" s="31">
        <v>2341.893</v>
      </c>
      <c r="Y13" s="31">
        <v>2344.2310000000002</v>
      </c>
      <c r="Z13" s="31">
        <v>2346.15</v>
      </c>
      <c r="AA13" s="31">
        <v>2347.1799999999998</v>
      </c>
      <c r="AB13" s="31">
        <v>2349.0079999999998</v>
      </c>
      <c r="AC13" s="31">
        <v>2352.1559999999999</v>
      </c>
      <c r="AD13" s="31">
        <v>2355.0509999999999</v>
      </c>
      <c r="AE13" s="31">
        <v>2357.047</v>
      </c>
      <c r="AF13" s="31">
        <v>2360.4899999999998</v>
      </c>
      <c r="AG13" s="31">
        <v>2364.6790000000001</v>
      </c>
      <c r="AH13" s="31">
        <v>2366.6619999999998</v>
      </c>
      <c r="AI13" s="31"/>
    </row>
    <row r="14" spans="1:42" s="8" customFormat="1" ht="25.7" customHeight="1" thickBot="1" x14ac:dyDescent="0.3">
      <c r="A14" s="108"/>
      <c r="B14" s="48"/>
      <c r="C14" s="106"/>
      <c r="D14" s="33"/>
      <c r="E14" s="33">
        <f>E13-D13</f>
        <v>2.4750000000003638</v>
      </c>
      <c r="F14" s="33">
        <f t="shared" ref="F14:AH14" si="5">F13-E13</f>
        <v>0.99899999999979627</v>
      </c>
      <c r="G14" s="33">
        <f t="shared" si="5"/>
        <v>2.3499999999999091</v>
      </c>
      <c r="H14" s="33">
        <f t="shared" si="5"/>
        <v>2.4570000000003347</v>
      </c>
      <c r="I14" s="33">
        <f t="shared" si="5"/>
        <v>2.5799999999999272</v>
      </c>
      <c r="J14" s="33">
        <f t="shared" si="5"/>
        <v>4.0270000000000437</v>
      </c>
      <c r="K14" s="33">
        <f t="shared" si="5"/>
        <v>1.6509999999998399</v>
      </c>
      <c r="L14" s="33">
        <f t="shared" si="5"/>
        <v>0.81399999999985084</v>
      </c>
      <c r="M14" s="33">
        <f t="shared" si="5"/>
        <v>2.9100000000003092</v>
      </c>
      <c r="N14" s="33">
        <f t="shared" si="5"/>
        <v>4.8919999999998254</v>
      </c>
      <c r="O14" s="33">
        <f t="shared" si="5"/>
        <v>1.93100000000004</v>
      </c>
      <c r="P14" s="33">
        <f t="shared" si="5"/>
        <v>4.7489999999997963</v>
      </c>
      <c r="Q14" s="33">
        <f t="shared" si="5"/>
        <v>3.1400000000003274</v>
      </c>
      <c r="R14" s="33">
        <f t="shared" si="5"/>
        <v>2.8599999999996726</v>
      </c>
      <c r="S14" s="33">
        <f t="shared" si="5"/>
        <v>2.0740000000000691</v>
      </c>
      <c r="T14" s="33">
        <f t="shared" si="5"/>
        <v>1.3460000000000036</v>
      </c>
      <c r="U14" s="33">
        <f t="shared" si="5"/>
        <v>0.47600000000011278</v>
      </c>
      <c r="V14" s="33">
        <f t="shared" si="5"/>
        <v>9.9000000000160071E-2</v>
      </c>
      <c r="W14" s="33">
        <f t="shared" si="5"/>
        <v>7.3589999999999236</v>
      </c>
      <c r="X14" s="33">
        <f t="shared" si="5"/>
        <v>2.6289999999999054</v>
      </c>
      <c r="Y14" s="33">
        <f t="shared" si="5"/>
        <v>2.3380000000001928</v>
      </c>
      <c r="Z14" s="33">
        <f t="shared" si="5"/>
        <v>1.918999999999869</v>
      </c>
      <c r="AA14" s="33">
        <f t="shared" si="5"/>
        <v>1.0299999999997453</v>
      </c>
      <c r="AB14" s="33">
        <f t="shared" si="5"/>
        <v>1.8279999999999745</v>
      </c>
      <c r="AC14" s="33">
        <f t="shared" si="5"/>
        <v>3.1480000000001382</v>
      </c>
      <c r="AD14" s="33">
        <f t="shared" si="5"/>
        <v>2.8949999999999818</v>
      </c>
      <c r="AE14" s="33">
        <f t="shared" si="5"/>
        <v>1.9960000000000946</v>
      </c>
      <c r="AF14" s="33">
        <f t="shared" si="5"/>
        <v>3.4429999999997563</v>
      </c>
      <c r="AG14" s="33">
        <f t="shared" si="5"/>
        <v>4.1890000000003056</v>
      </c>
      <c r="AH14" s="33">
        <f t="shared" si="5"/>
        <v>1.9829999999997199</v>
      </c>
      <c r="AI14" s="33"/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100" t="s">
        <v>71</v>
      </c>
      <c r="C15" s="100"/>
      <c r="D15" s="50"/>
      <c r="E15" s="61">
        <f>E6+((E8*45%)+(E10*45%)+(E12+E14))</f>
        <v>272.13900000000029</v>
      </c>
      <c r="F15" s="61">
        <f t="shared" ref="F15:AI15" si="6">F6+((F8*45%)+(F10*45%)+(F12+F14))</f>
        <v>278.09099999999478</v>
      </c>
      <c r="G15" s="61">
        <f t="shared" si="6"/>
        <v>288.84699999999464</v>
      </c>
      <c r="H15" s="61">
        <f t="shared" si="6"/>
        <v>293.01499999998975</v>
      </c>
      <c r="I15" s="61">
        <f t="shared" si="6"/>
        <v>293.63600000000514</v>
      </c>
      <c r="J15" s="61">
        <f t="shared" si="6"/>
        <v>262.36900000000526</v>
      </c>
      <c r="K15" s="61">
        <f t="shared" si="6"/>
        <v>288.87199999999984</v>
      </c>
      <c r="L15" s="61">
        <f t="shared" si="6"/>
        <v>253.82299999999992</v>
      </c>
      <c r="M15" s="61">
        <f t="shared" si="6"/>
        <v>321.97300000001081</v>
      </c>
      <c r="N15" s="61">
        <f t="shared" si="6"/>
        <v>297.47899999998413</v>
      </c>
      <c r="O15" s="61">
        <f t="shared" si="6"/>
        <v>378.61899999999463</v>
      </c>
      <c r="P15" s="61">
        <f t="shared" si="6"/>
        <v>420.00000000000517</v>
      </c>
      <c r="Q15" s="61">
        <f t="shared" si="6"/>
        <v>394.50299999999504</v>
      </c>
      <c r="R15" s="61">
        <f t="shared" si="6"/>
        <v>372.66100000000489</v>
      </c>
      <c r="S15" s="61">
        <f t="shared" si="6"/>
        <v>330.98600000000545</v>
      </c>
      <c r="T15" s="61">
        <f>T6+((T8*45%)+(T10*45%)+(T12+T14))</f>
        <v>311.62999999999977</v>
      </c>
      <c r="U15" s="61">
        <f t="shared" si="6"/>
        <v>311.9280000000054</v>
      </c>
      <c r="V15" s="61">
        <f t="shared" si="6"/>
        <v>299.78799999999512</v>
      </c>
      <c r="W15" s="61">
        <f t="shared" si="6"/>
        <v>367.5750000000051</v>
      </c>
      <c r="X15" s="61">
        <f t="shared" si="6"/>
        <v>382.07499999999982</v>
      </c>
      <c r="Y15" s="61">
        <f t="shared" si="6"/>
        <v>375.55499999998455</v>
      </c>
      <c r="Z15" s="61">
        <f t="shared" si="6"/>
        <v>251.57800000001021</v>
      </c>
      <c r="AA15" s="61">
        <f t="shared" si="6"/>
        <v>169.35599999999991</v>
      </c>
      <c r="AB15" s="61">
        <f t="shared" si="6"/>
        <v>162.42799999998942</v>
      </c>
      <c r="AC15" s="61">
        <f t="shared" si="6"/>
        <v>878.65200000000027</v>
      </c>
      <c r="AD15" s="61">
        <f t="shared" si="6"/>
        <v>646.18799999999987</v>
      </c>
      <c r="AE15" s="61">
        <f t="shared" si="6"/>
        <v>372.89499999999998</v>
      </c>
      <c r="AF15" s="61">
        <f t="shared" si="6"/>
        <v>410.75700000002081</v>
      </c>
      <c r="AG15" s="61">
        <f t="shared" si="6"/>
        <v>365.11400000000037</v>
      </c>
      <c r="AH15" s="61">
        <f t="shared" si="6"/>
        <v>178.66399999998913</v>
      </c>
      <c r="AI15" s="61">
        <f t="shared" si="6"/>
        <v>0</v>
      </c>
    </row>
    <row r="16" spans="1:42" ht="33" customHeight="1" x14ac:dyDescent="0.25">
      <c r="B16" s="99" t="s">
        <v>72</v>
      </c>
      <c r="C16" s="99"/>
      <c r="D16" s="50"/>
      <c r="E16" s="61">
        <f>SUM(E15:AI15)</f>
        <v>10231.195999999991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8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abSelected="1" zoomScaleNormal="100" workbookViewId="0">
      <selection activeCell="B34" sqref="B34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109" t="s">
        <v>97</v>
      </c>
      <c r="B1" s="109"/>
      <c r="C1" s="109"/>
    </row>
    <row r="2" spans="1:3" ht="24.95" customHeight="1" x14ac:dyDescent="0.25">
      <c r="A2" s="63" t="s">
        <v>92</v>
      </c>
      <c r="B2" s="63" t="s">
        <v>90</v>
      </c>
      <c r="C2" s="63" t="s">
        <v>91</v>
      </c>
    </row>
    <row r="3" spans="1:3" ht="24.95" customHeight="1" x14ac:dyDescent="0.25">
      <c r="A3" s="64">
        <v>45383</v>
      </c>
      <c r="B3" s="65">
        <v>293</v>
      </c>
      <c r="C3" s="65">
        <v>415</v>
      </c>
    </row>
    <row r="4" spans="1:3" ht="24.95" customHeight="1" x14ac:dyDescent="0.25">
      <c r="A4" s="64">
        <v>45384</v>
      </c>
      <c r="B4" s="65">
        <v>318</v>
      </c>
      <c r="C4" s="65">
        <v>451</v>
      </c>
    </row>
    <row r="5" spans="1:3" ht="24.95" customHeight="1" x14ac:dyDescent="0.25">
      <c r="A5" s="64">
        <v>45385</v>
      </c>
      <c r="B5" s="65">
        <v>291</v>
      </c>
      <c r="C5" s="65">
        <v>419</v>
      </c>
    </row>
    <row r="6" spans="1:3" ht="24.95" customHeight="1" x14ac:dyDescent="0.25">
      <c r="A6" s="64">
        <v>45386</v>
      </c>
      <c r="B6" s="65">
        <v>275</v>
      </c>
      <c r="C6" s="65">
        <v>402</v>
      </c>
    </row>
    <row r="7" spans="1:3" ht="24.95" customHeight="1" x14ac:dyDescent="0.25">
      <c r="A7" s="64">
        <v>45387</v>
      </c>
      <c r="B7" s="65">
        <v>236</v>
      </c>
      <c r="C7" s="65">
        <v>359</v>
      </c>
    </row>
    <row r="8" spans="1:3" ht="24.95" customHeight="1" x14ac:dyDescent="0.25">
      <c r="A8" s="64">
        <v>45388</v>
      </c>
      <c r="B8" s="65">
        <v>223</v>
      </c>
      <c r="C8" s="65">
        <v>349</v>
      </c>
    </row>
    <row r="9" spans="1:3" ht="24.95" customHeight="1" x14ac:dyDescent="0.25">
      <c r="A9" s="64">
        <v>45389</v>
      </c>
      <c r="B9" s="65">
        <v>220</v>
      </c>
      <c r="C9" s="65">
        <v>331</v>
      </c>
    </row>
    <row r="10" spans="1:3" ht="24.95" customHeight="1" x14ac:dyDescent="0.25">
      <c r="A10" s="64">
        <v>45390</v>
      </c>
      <c r="B10" s="65">
        <v>259</v>
      </c>
      <c r="C10" s="65">
        <v>403</v>
      </c>
    </row>
    <row r="11" spans="1:3" ht="24.95" customHeight="1" x14ac:dyDescent="0.25">
      <c r="A11" s="64">
        <v>45391</v>
      </c>
      <c r="B11" s="65">
        <v>291</v>
      </c>
      <c r="C11" s="65">
        <v>505</v>
      </c>
    </row>
    <row r="12" spans="1:3" ht="24.95" customHeight="1" x14ac:dyDescent="0.25">
      <c r="A12" s="64">
        <v>45392</v>
      </c>
      <c r="B12" s="65">
        <v>352</v>
      </c>
      <c r="C12" s="65">
        <v>642</v>
      </c>
    </row>
    <row r="13" spans="1:3" ht="24.95" customHeight="1" x14ac:dyDescent="0.25">
      <c r="A13" s="64">
        <v>45393</v>
      </c>
      <c r="B13" s="65">
        <v>462</v>
      </c>
      <c r="C13" s="65">
        <v>887</v>
      </c>
    </row>
    <row r="14" spans="1:3" ht="24.95" customHeight="1" x14ac:dyDescent="0.25">
      <c r="A14" s="64">
        <v>45394</v>
      </c>
      <c r="B14" s="65">
        <v>439</v>
      </c>
      <c r="C14" s="65">
        <v>802</v>
      </c>
    </row>
    <row r="15" spans="1:3" ht="24.95" customHeight="1" x14ac:dyDescent="0.25">
      <c r="A15" s="64">
        <v>45395</v>
      </c>
      <c r="B15" s="65">
        <v>422</v>
      </c>
      <c r="C15" s="65">
        <v>684</v>
      </c>
    </row>
    <row r="16" spans="1:3" ht="24.95" customHeight="1" x14ac:dyDescent="0.25">
      <c r="A16" s="64">
        <v>45396</v>
      </c>
      <c r="B16" s="65">
        <v>336</v>
      </c>
      <c r="C16" s="65">
        <v>509</v>
      </c>
    </row>
    <row r="17" spans="1:3" ht="24.95" customHeight="1" x14ac:dyDescent="0.25">
      <c r="A17" s="64">
        <v>45397</v>
      </c>
      <c r="B17" s="65">
        <v>432</v>
      </c>
      <c r="C17" s="65">
        <v>533</v>
      </c>
    </row>
    <row r="18" spans="1:3" ht="24.95" customHeight="1" x14ac:dyDescent="0.25">
      <c r="A18" s="64">
        <v>45398</v>
      </c>
      <c r="B18" s="65">
        <v>464</v>
      </c>
      <c r="C18" s="65">
        <v>586</v>
      </c>
    </row>
    <row r="19" spans="1:3" ht="24.95" customHeight="1" x14ac:dyDescent="0.25">
      <c r="A19" s="64">
        <v>45399</v>
      </c>
      <c r="B19" s="65">
        <v>470</v>
      </c>
      <c r="C19" s="65">
        <v>582</v>
      </c>
    </row>
    <row r="20" spans="1:3" ht="24.95" customHeight="1" x14ac:dyDescent="0.25">
      <c r="A20" s="64">
        <v>45400</v>
      </c>
      <c r="B20" s="65">
        <v>392</v>
      </c>
      <c r="C20" s="65">
        <v>539</v>
      </c>
    </row>
    <row r="21" spans="1:3" ht="24.95" customHeight="1" x14ac:dyDescent="0.25">
      <c r="A21" s="64">
        <v>45401</v>
      </c>
      <c r="B21" s="65">
        <v>390</v>
      </c>
      <c r="C21" s="65">
        <v>605</v>
      </c>
    </row>
    <row r="22" spans="1:3" ht="24.95" customHeight="1" x14ac:dyDescent="0.25">
      <c r="A22" s="64">
        <v>45402</v>
      </c>
      <c r="B22" s="65">
        <v>358</v>
      </c>
      <c r="C22" s="65">
        <v>517</v>
      </c>
    </row>
    <row r="23" spans="1:3" ht="24.95" customHeight="1" x14ac:dyDescent="0.25">
      <c r="A23" s="64">
        <v>45403</v>
      </c>
      <c r="B23" s="65">
        <v>356</v>
      </c>
      <c r="C23" s="65">
        <v>467</v>
      </c>
    </row>
    <row r="24" spans="1:3" ht="24.95" customHeight="1" x14ac:dyDescent="0.25">
      <c r="A24" s="64">
        <v>45404</v>
      </c>
      <c r="B24" s="65">
        <v>471</v>
      </c>
      <c r="C24" s="65">
        <v>628</v>
      </c>
    </row>
    <row r="25" spans="1:3" ht="24.95" customHeight="1" x14ac:dyDescent="0.25">
      <c r="A25" s="64">
        <v>45405</v>
      </c>
      <c r="B25" s="65">
        <v>471</v>
      </c>
      <c r="C25" s="65">
        <v>601</v>
      </c>
    </row>
    <row r="26" spans="1:3" ht="24.95" customHeight="1" x14ac:dyDescent="0.25">
      <c r="A26" s="64">
        <v>45406</v>
      </c>
      <c r="B26" s="65">
        <v>484</v>
      </c>
      <c r="C26" s="65">
        <v>608</v>
      </c>
    </row>
    <row r="27" spans="1:3" ht="24.95" customHeight="1" x14ac:dyDescent="0.25">
      <c r="A27" s="64">
        <v>45407</v>
      </c>
      <c r="B27" s="65">
        <v>458</v>
      </c>
      <c r="C27" s="65">
        <v>573</v>
      </c>
    </row>
    <row r="28" spans="1:3" ht="24.95" customHeight="1" x14ac:dyDescent="0.25">
      <c r="A28" s="64">
        <v>45408</v>
      </c>
      <c r="B28" s="65">
        <v>460</v>
      </c>
      <c r="C28" s="65">
        <v>597</v>
      </c>
    </row>
    <row r="29" spans="1:3" ht="24.95" customHeight="1" x14ac:dyDescent="0.25">
      <c r="A29" s="64">
        <v>45409</v>
      </c>
      <c r="B29" s="65">
        <v>473</v>
      </c>
      <c r="C29" s="65">
        <v>629</v>
      </c>
    </row>
    <row r="30" spans="1:3" ht="24.95" customHeight="1" x14ac:dyDescent="0.25">
      <c r="A30" s="64">
        <v>45410</v>
      </c>
      <c r="B30" s="65">
        <v>458</v>
      </c>
      <c r="C30" s="65">
        <v>565</v>
      </c>
    </row>
    <row r="31" spans="1:3" ht="24.95" customHeight="1" x14ac:dyDescent="0.25">
      <c r="A31" s="64">
        <v>45411</v>
      </c>
      <c r="B31" s="65">
        <v>482</v>
      </c>
      <c r="C31" s="65">
        <v>606</v>
      </c>
    </row>
    <row r="32" spans="1:3" ht="24.95" customHeight="1" x14ac:dyDescent="0.25">
      <c r="A32" s="64">
        <v>45412</v>
      </c>
      <c r="B32" s="65">
        <v>471</v>
      </c>
      <c r="C32" s="65">
        <v>611</v>
      </c>
    </row>
    <row r="33" spans="1:3" ht="24.95" customHeight="1" x14ac:dyDescent="0.25">
      <c r="A33" s="64"/>
      <c r="B33" s="65"/>
      <c r="C33" s="65"/>
    </row>
    <row r="34" spans="1:3" ht="30.75" customHeight="1" x14ac:dyDescent="0.25">
      <c r="A34" s="63" t="s">
        <v>93</v>
      </c>
      <c r="B34" s="66">
        <f>SUM(B3:B33)</f>
        <v>11507</v>
      </c>
      <c r="C34" s="66">
        <f>SUM(C3:C33)</f>
        <v>16405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LPG</vt:lpstr>
      <vt:lpstr>Water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Lesley Ann Almazan</cp:lastModifiedBy>
  <dcterms:created xsi:type="dcterms:W3CDTF">2019-05-13T11:08:30Z</dcterms:created>
  <dcterms:modified xsi:type="dcterms:W3CDTF">2025-03-13T08:52:00Z</dcterms:modified>
</cp:coreProperties>
</file>