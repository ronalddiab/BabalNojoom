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24226"/>
  <xr:revisionPtr revIDLastSave="0" documentId="13_ncr:1_{180C9F04-EE6C-4419-BF06-459DBEF1A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4" r:id="rId1"/>
    <sheet name="Submetering" sheetId="5" r:id="rId2"/>
    <sheet name="Apr 2024" sheetId="15" r:id="rId3"/>
  </sheets>
  <definedNames>
    <definedName name="_xlnm.Print_Area" localSheetId="2">'Apr 2024'!$A$1:$AC$43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2" i="4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15"/>
  <c r="G57" i="15"/>
  <c r="L57" i="15" s="1"/>
  <c r="B57" i="15"/>
  <c r="B56" i="15"/>
  <c r="G56" i="15" s="1"/>
  <c r="L56" i="15" s="1"/>
  <c r="G55" i="15"/>
  <c r="L55" i="15" s="1"/>
  <c r="B55" i="15"/>
  <c r="G54" i="15"/>
  <c r="L54" i="15" s="1"/>
  <c r="B54" i="15"/>
  <c r="B49" i="15"/>
  <c r="G49" i="15" s="1"/>
  <c r="R49" i="15" s="1"/>
  <c r="R48" i="15"/>
  <c r="B48" i="15"/>
  <c r="G48" i="15" s="1"/>
  <c r="B47" i="15"/>
  <c r="G47" i="15" s="1"/>
  <c r="R47" i="15" s="1"/>
  <c r="AB47" i="15" s="1"/>
  <c r="R46" i="15"/>
  <c r="B46" i="15"/>
  <c r="G46" i="15" s="1"/>
  <c r="I44" i="15"/>
  <c r="AG43" i="15"/>
  <c r="Z43" i="15" s="1"/>
  <c r="V43" i="15"/>
  <c r="T43" i="15"/>
  <c r="O43" i="15"/>
  <c r="M43" i="15"/>
  <c r="J43" i="15"/>
  <c r="G43" i="15"/>
  <c r="X42" i="15"/>
  <c r="AG42" i="15" s="1"/>
  <c r="Z42" i="15" s="1"/>
  <c r="V42" i="15"/>
  <c r="T42" i="15"/>
  <c r="R42" i="15"/>
  <c r="O42" i="15"/>
  <c r="M42" i="15"/>
  <c r="L42" i="15"/>
  <c r="J42" i="15"/>
  <c r="D42" i="15"/>
  <c r="G42" i="15" s="1"/>
  <c r="V41" i="15"/>
  <c r="O41" i="15"/>
  <c r="J41" i="15"/>
  <c r="AG40" i="15"/>
  <c r="Z40" i="15" s="1"/>
  <c r="V40" i="15"/>
  <c r="T40" i="15"/>
  <c r="O40" i="15"/>
  <c r="M40" i="15"/>
  <c r="J40" i="15"/>
  <c r="G40" i="15"/>
  <c r="AG39" i="15"/>
  <c r="Z39" i="15" s="1"/>
  <c r="V39" i="15"/>
  <c r="T39" i="15"/>
  <c r="O39" i="15"/>
  <c r="M39" i="15"/>
  <c r="J39" i="15"/>
  <c r="G39" i="15"/>
  <c r="AG38" i="15"/>
  <c r="V38" i="15"/>
  <c r="O38" i="15"/>
  <c r="J38" i="15"/>
  <c r="AG37" i="15"/>
  <c r="AE35" i="15"/>
  <c r="AD35" i="15"/>
  <c r="AW34" i="15"/>
  <c r="AV34" i="15"/>
  <c r="AT34" i="15"/>
  <c r="AS34" i="15"/>
  <c r="AQ34" i="15"/>
  <c r="AP34" i="15"/>
  <c r="AN34" i="15"/>
  <c r="AM34" i="15"/>
  <c r="AK34" i="15"/>
  <c r="AJ34" i="15"/>
  <c r="AH34" i="15"/>
  <c r="AG34" i="15"/>
  <c r="AC34" i="15"/>
  <c r="Z34" i="15"/>
  <c r="Y34" i="15"/>
  <c r="AA34" i="15" s="1"/>
  <c r="X34" i="15"/>
  <c r="W34" i="15"/>
  <c r="T34" i="15"/>
  <c r="U34" i="15" s="1"/>
  <c r="S34" i="15"/>
  <c r="P34" i="15"/>
  <c r="N34" i="15"/>
  <c r="L34" i="15"/>
  <c r="K34" i="15"/>
  <c r="G34" i="15"/>
  <c r="E34" i="15"/>
  <c r="C34" i="15"/>
  <c r="H34" i="15" s="1"/>
  <c r="I34" i="15" s="1"/>
  <c r="AV33" i="15"/>
  <c r="AW33" i="15" s="1"/>
  <c r="AS33" i="15"/>
  <c r="AT33" i="15" s="1"/>
  <c r="AQ33" i="15"/>
  <c r="AP33" i="15"/>
  <c r="AM33" i="15"/>
  <c r="AN33" i="15" s="1"/>
  <c r="AJ33" i="15"/>
  <c r="AK33" i="15" s="1"/>
  <c r="AG33" i="15"/>
  <c r="AH33" i="15" s="1"/>
  <c r="AC33" i="15"/>
  <c r="Z33" i="15"/>
  <c r="X33" i="15"/>
  <c r="Y33" i="15" s="1"/>
  <c r="AA33" i="15" s="1"/>
  <c r="W33" i="15"/>
  <c r="S33" i="15"/>
  <c r="T33" i="15" s="1"/>
  <c r="U33" i="15" s="1"/>
  <c r="Q33" i="15"/>
  <c r="P33" i="15"/>
  <c r="N33" i="15"/>
  <c r="K33" i="15"/>
  <c r="L33" i="15" s="1"/>
  <c r="G33" i="15"/>
  <c r="E33" i="15"/>
  <c r="H33" i="15" s="1"/>
  <c r="I33" i="15" s="1"/>
  <c r="C33" i="15"/>
  <c r="AV32" i="15"/>
  <c r="AW32" i="15" s="1"/>
  <c r="AT32" i="15"/>
  <c r="AS32" i="15"/>
  <c r="AP32" i="15"/>
  <c r="AQ32" i="15" s="1"/>
  <c r="AN32" i="15"/>
  <c r="AM32" i="15"/>
  <c r="AJ32" i="15"/>
  <c r="AK32" i="15" s="1"/>
  <c r="AH32" i="15"/>
  <c r="AG32" i="15"/>
  <c r="AC32" i="15"/>
  <c r="Z32" i="15"/>
  <c r="X32" i="15"/>
  <c r="Y32" i="15" s="1"/>
  <c r="AA32" i="15" s="1"/>
  <c r="W32" i="15"/>
  <c r="S32" i="15"/>
  <c r="T32" i="15" s="1"/>
  <c r="U32" i="15" s="1"/>
  <c r="Q32" i="15"/>
  <c r="P32" i="15"/>
  <c r="N32" i="15"/>
  <c r="K32" i="15"/>
  <c r="L32" i="15" s="1"/>
  <c r="G32" i="15"/>
  <c r="E32" i="15"/>
  <c r="C32" i="15"/>
  <c r="H32" i="15" s="1"/>
  <c r="I32" i="15" s="1"/>
  <c r="AV31" i="15"/>
  <c r="AW31" i="15" s="1"/>
  <c r="AS31" i="15"/>
  <c r="AT31" i="15" s="1"/>
  <c r="AP31" i="15"/>
  <c r="AQ31" i="15" s="1"/>
  <c r="AM31" i="15"/>
  <c r="AN31" i="15" s="1"/>
  <c r="AJ31" i="15"/>
  <c r="AK31" i="15" s="1"/>
  <c r="AH31" i="15"/>
  <c r="AG31" i="15"/>
  <c r="AC31" i="15"/>
  <c r="Z31" i="15"/>
  <c r="W31" i="15"/>
  <c r="X31" i="15" s="1"/>
  <c r="Y31" i="15" s="1"/>
  <c r="AA31" i="15" s="1"/>
  <c r="U31" i="15"/>
  <c r="T31" i="15"/>
  <c r="S31" i="15"/>
  <c r="P31" i="15"/>
  <c r="Q31" i="15" s="1"/>
  <c r="N31" i="15"/>
  <c r="K31" i="15"/>
  <c r="L31" i="15" s="1"/>
  <c r="H31" i="15"/>
  <c r="I31" i="15" s="1"/>
  <c r="G31" i="15"/>
  <c r="E31" i="15"/>
  <c r="C31" i="15"/>
  <c r="AW30" i="15"/>
  <c r="AV30" i="15"/>
  <c r="AS30" i="15"/>
  <c r="AT30" i="15" s="1"/>
  <c r="AQ30" i="15"/>
  <c r="AP30" i="15"/>
  <c r="AM30" i="15"/>
  <c r="AN30" i="15" s="1"/>
  <c r="AK30" i="15"/>
  <c r="AJ30" i="15"/>
  <c r="AG30" i="15"/>
  <c r="AH30" i="15" s="1"/>
  <c r="AC30" i="15"/>
  <c r="Z30" i="15"/>
  <c r="X30" i="15"/>
  <c r="Y30" i="15" s="1"/>
  <c r="AA30" i="15" s="1"/>
  <c r="W30" i="15"/>
  <c r="S30" i="15"/>
  <c r="T30" i="15" s="1"/>
  <c r="U30" i="15" s="1"/>
  <c r="P30" i="15"/>
  <c r="N30" i="15"/>
  <c r="Q30" i="15" s="1"/>
  <c r="L30" i="15"/>
  <c r="K30" i="15"/>
  <c r="H30" i="15"/>
  <c r="I30" i="15" s="1"/>
  <c r="G30" i="15"/>
  <c r="E30" i="15"/>
  <c r="C30" i="15"/>
  <c r="AW29" i="15"/>
  <c r="AV29" i="15"/>
  <c r="AS29" i="15"/>
  <c r="AT29" i="15" s="1"/>
  <c r="AP29" i="15"/>
  <c r="AQ29" i="15" s="1"/>
  <c r="AM29" i="15"/>
  <c r="AN29" i="15" s="1"/>
  <c r="AJ29" i="15"/>
  <c r="AK29" i="15" s="1"/>
  <c r="AG29" i="15"/>
  <c r="AH29" i="15" s="1"/>
  <c r="AC29" i="15"/>
  <c r="Z29" i="15"/>
  <c r="Y29" i="15"/>
  <c r="AA29" i="15" s="1"/>
  <c r="W29" i="15"/>
  <c r="X29" i="15" s="1"/>
  <c r="S29" i="15"/>
  <c r="T29" i="15" s="1"/>
  <c r="U29" i="15" s="1"/>
  <c r="P29" i="15"/>
  <c r="N29" i="15"/>
  <c r="Q29" i="15" s="1"/>
  <c r="L29" i="15"/>
  <c r="K29" i="15"/>
  <c r="H29" i="15"/>
  <c r="I29" i="15" s="1"/>
  <c r="G29" i="15"/>
  <c r="E29" i="15"/>
  <c r="C29" i="15"/>
  <c r="AW28" i="15"/>
  <c r="AV28" i="15"/>
  <c r="AT28" i="15"/>
  <c r="AS28" i="15"/>
  <c r="AQ28" i="15"/>
  <c r="AP28" i="15"/>
  <c r="AN28" i="15"/>
  <c r="AM28" i="15"/>
  <c r="AK28" i="15"/>
  <c r="AJ28" i="15"/>
  <c r="AH28" i="15"/>
  <c r="AG28" i="15"/>
  <c r="AC28" i="15"/>
  <c r="Z28" i="15"/>
  <c r="W28" i="15"/>
  <c r="X28" i="15" s="1"/>
  <c r="Y28" i="15" s="1"/>
  <c r="AA28" i="15" s="1"/>
  <c r="U28" i="15"/>
  <c r="S28" i="15"/>
  <c r="T28" i="15" s="1"/>
  <c r="P28" i="15"/>
  <c r="Q28" i="15" s="1"/>
  <c r="N28" i="15"/>
  <c r="L28" i="15"/>
  <c r="K28" i="15"/>
  <c r="G28" i="15"/>
  <c r="E28" i="15"/>
  <c r="C28" i="15"/>
  <c r="AV27" i="15"/>
  <c r="AW27" i="15" s="1"/>
  <c r="AS27" i="15"/>
  <c r="AT27" i="15" s="1"/>
  <c r="AP27" i="15"/>
  <c r="AQ27" i="15" s="1"/>
  <c r="AM27" i="15"/>
  <c r="AN27" i="15" s="1"/>
  <c r="AJ27" i="15"/>
  <c r="AK27" i="15" s="1"/>
  <c r="AG27" i="15"/>
  <c r="AH27" i="15" s="1"/>
  <c r="AC27" i="15"/>
  <c r="Z27" i="15"/>
  <c r="W27" i="15"/>
  <c r="X27" i="15" s="1"/>
  <c r="Y27" i="15" s="1"/>
  <c r="AA27" i="15" s="1"/>
  <c r="U27" i="15"/>
  <c r="T27" i="15"/>
  <c r="S27" i="15"/>
  <c r="P27" i="15"/>
  <c r="Q27" i="15" s="1"/>
  <c r="N27" i="15"/>
  <c r="K27" i="15"/>
  <c r="L27" i="15" s="1"/>
  <c r="H27" i="15"/>
  <c r="I27" i="15" s="1"/>
  <c r="G27" i="15"/>
  <c r="E27" i="15"/>
  <c r="C27" i="15"/>
  <c r="AW26" i="15"/>
  <c r="AV26" i="15"/>
  <c r="AS26" i="15"/>
  <c r="AT26" i="15" s="1"/>
  <c r="AQ26" i="15"/>
  <c r="AP26" i="15"/>
  <c r="AM26" i="15"/>
  <c r="AN26" i="15" s="1"/>
  <c r="AK26" i="15"/>
  <c r="AJ26" i="15"/>
  <c r="AG26" i="15"/>
  <c r="AH26" i="15" s="1"/>
  <c r="AC26" i="15"/>
  <c r="Z26" i="15"/>
  <c r="X26" i="15"/>
  <c r="Y26" i="15" s="1"/>
  <c r="AA26" i="15" s="1"/>
  <c r="W26" i="15"/>
  <c r="T26" i="15"/>
  <c r="U26" i="15" s="1"/>
  <c r="S26" i="15"/>
  <c r="P26" i="15"/>
  <c r="N26" i="15"/>
  <c r="L26" i="15"/>
  <c r="K26" i="15"/>
  <c r="G26" i="15"/>
  <c r="E26" i="15"/>
  <c r="C26" i="15"/>
  <c r="AV25" i="15"/>
  <c r="AW25" i="15" s="1"/>
  <c r="AS25" i="15"/>
  <c r="AT25" i="15" s="1"/>
  <c r="AQ25" i="15"/>
  <c r="AP25" i="15"/>
  <c r="AM25" i="15"/>
  <c r="AN25" i="15" s="1"/>
  <c r="AJ25" i="15"/>
  <c r="AK25" i="15" s="1"/>
  <c r="AG25" i="15"/>
  <c r="AH25" i="15" s="1"/>
  <c r="AC25" i="15"/>
  <c r="Z25" i="15"/>
  <c r="W25" i="15"/>
  <c r="X25" i="15" s="1"/>
  <c r="Y25" i="15" s="1"/>
  <c r="AA25" i="15" s="1"/>
  <c r="T25" i="15"/>
  <c r="U25" i="15" s="1"/>
  <c r="S25" i="15"/>
  <c r="P25" i="15"/>
  <c r="N25" i="15"/>
  <c r="Q25" i="15" s="1"/>
  <c r="K25" i="15"/>
  <c r="L25" i="15" s="1"/>
  <c r="G25" i="15"/>
  <c r="H25" i="15" s="1"/>
  <c r="I25" i="15" s="1"/>
  <c r="E25" i="15"/>
  <c r="C25" i="15"/>
  <c r="AV24" i="15"/>
  <c r="AW24" i="15" s="1"/>
  <c r="AT24" i="15"/>
  <c r="AS24" i="15"/>
  <c r="AP24" i="15"/>
  <c r="AQ24" i="15" s="1"/>
  <c r="AN24" i="15"/>
  <c r="AM24" i="15"/>
  <c r="AJ24" i="15"/>
  <c r="AK24" i="15" s="1"/>
  <c r="AH24" i="15"/>
  <c r="AG24" i="15"/>
  <c r="AC24" i="15"/>
  <c r="Z24" i="15"/>
  <c r="X24" i="15"/>
  <c r="Y24" i="15" s="1"/>
  <c r="AA24" i="15" s="1"/>
  <c r="W24" i="15"/>
  <c r="U24" i="15"/>
  <c r="S24" i="15"/>
  <c r="T24" i="15" s="1"/>
  <c r="Q24" i="15"/>
  <c r="P24" i="15"/>
  <c r="N24" i="15"/>
  <c r="K24" i="15"/>
  <c r="L24" i="15" s="1"/>
  <c r="I24" i="15"/>
  <c r="G24" i="15"/>
  <c r="E24" i="15"/>
  <c r="C24" i="15"/>
  <c r="H24" i="15" s="1"/>
  <c r="AV23" i="15"/>
  <c r="AW23" i="15" s="1"/>
  <c r="AT23" i="15"/>
  <c r="AS23" i="15"/>
  <c r="AP23" i="15"/>
  <c r="AQ23" i="15" s="1"/>
  <c r="AN23" i="15"/>
  <c r="AM23" i="15"/>
  <c r="AJ23" i="15"/>
  <c r="AK23" i="15" s="1"/>
  <c r="AG23" i="15"/>
  <c r="AH23" i="15" s="1"/>
  <c r="AC23" i="15"/>
  <c r="Z23" i="15"/>
  <c r="W23" i="15"/>
  <c r="X23" i="15" s="1"/>
  <c r="Y23" i="15" s="1"/>
  <c r="AA23" i="15" s="1"/>
  <c r="T23" i="15"/>
  <c r="U23" i="15" s="1"/>
  <c r="S23" i="15"/>
  <c r="Q23" i="15"/>
  <c r="P23" i="15"/>
  <c r="N23" i="15"/>
  <c r="K23" i="15"/>
  <c r="L23" i="15" s="1"/>
  <c r="G23" i="15"/>
  <c r="E23" i="15"/>
  <c r="C23" i="15"/>
  <c r="AV22" i="15"/>
  <c r="AW22" i="15" s="1"/>
  <c r="AT22" i="15"/>
  <c r="AS22" i="15"/>
  <c r="AP22" i="15"/>
  <c r="AQ22" i="15" s="1"/>
  <c r="AM22" i="15"/>
  <c r="AN22" i="15" s="1"/>
  <c r="AJ22" i="15"/>
  <c r="AK22" i="15" s="1"/>
  <c r="AG22" i="15"/>
  <c r="AH22" i="15" s="1"/>
  <c r="AC22" i="15"/>
  <c r="Z22" i="15"/>
  <c r="W22" i="15"/>
  <c r="X22" i="15" s="1"/>
  <c r="Y22" i="15" s="1"/>
  <c r="AA22" i="15" s="1"/>
  <c r="T22" i="15"/>
  <c r="U22" i="15" s="1"/>
  <c r="S22" i="15"/>
  <c r="Q22" i="15"/>
  <c r="P22" i="15"/>
  <c r="N22" i="15"/>
  <c r="K22" i="15"/>
  <c r="L22" i="15" s="1"/>
  <c r="G22" i="15"/>
  <c r="E22" i="15"/>
  <c r="C22" i="15"/>
  <c r="H22" i="15" s="1"/>
  <c r="I22" i="15" s="1"/>
  <c r="AW21" i="15"/>
  <c r="AV21" i="15"/>
  <c r="AS21" i="15"/>
  <c r="AT21" i="15" s="1"/>
  <c r="AQ21" i="15"/>
  <c r="AP21" i="15"/>
  <c r="AM21" i="15"/>
  <c r="AN21" i="15" s="1"/>
  <c r="AK21" i="15"/>
  <c r="AJ21" i="15"/>
  <c r="AG21" i="15"/>
  <c r="AH21" i="15" s="1"/>
  <c r="AC21" i="15"/>
  <c r="Z21" i="15"/>
  <c r="X21" i="15"/>
  <c r="Y21" i="15" s="1"/>
  <c r="AA21" i="15" s="1"/>
  <c r="W21" i="15"/>
  <c r="S21" i="15"/>
  <c r="T21" i="15" s="1"/>
  <c r="U21" i="15" s="1"/>
  <c r="P21" i="15"/>
  <c r="N21" i="15"/>
  <c r="Q21" i="15" s="1"/>
  <c r="L21" i="15"/>
  <c r="K21" i="15"/>
  <c r="G21" i="15"/>
  <c r="H21" i="15" s="1"/>
  <c r="I21" i="15" s="1"/>
  <c r="E21" i="15"/>
  <c r="C21" i="15"/>
  <c r="AV20" i="15"/>
  <c r="AW20" i="15" s="1"/>
  <c r="AS20" i="15"/>
  <c r="AT20" i="15" s="1"/>
  <c r="AP20" i="15"/>
  <c r="AQ20" i="15" s="1"/>
  <c r="AM20" i="15"/>
  <c r="AN20" i="15" s="1"/>
  <c r="AK20" i="15"/>
  <c r="AJ20" i="15"/>
  <c r="AG20" i="15"/>
  <c r="AH20" i="15" s="1"/>
  <c r="AC20" i="15"/>
  <c r="Z20" i="15"/>
  <c r="W20" i="15"/>
  <c r="X20" i="15" s="1"/>
  <c r="Y20" i="15" s="1"/>
  <c r="AA20" i="15" s="1"/>
  <c r="S20" i="15"/>
  <c r="T20" i="15" s="1"/>
  <c r="U20" i="15" s="1"/>
  <c r="Q20" i="15"/>
  <c r="P20" i="15"/>
  <c r="N20" i="15"/>
  <c r="K20" i="15"/>
  <c r="L20" i="15" s="1"/>
  <c r="H20" i="15"/>
  <c r="I20" i="15" s="1"/>
  <c r="G20" i="15"/>
  <c r="E20" i="15"/>
  <c r="C20" i="15"/>
  <c r="AW19" i="15"/>
  <c r="AV19" i="15"/>
  <c r="AT19" i="15"/>
  <c r="AS19" i="15"/>
  <c r="AQ19" i="15"/>
  <c r="AP19" i="15"/>
  <c r="AN19" i="15"/>
  <c r="AM19" i="15"/>
  <c r="AK19" i="15"/>
  <c r="AJ19" i="15"/>
  <c r="AH19" i="15"/>
  <c r="AG19" i="15"/>
  <c r="AC19" i="15"/>
  <c r="Z19" i="15"/>
  <c r="W19" i="15"/>
  <c r="X19" i="15" s="1"/>
  <c r="Y19" i="15" s="1"/>
  <c r="AA19" i="15" s="1"/>
  <c r="S19" i="15"/>
  <c r="T19" i="15" s="1"/>
  <c r="U19" i="15" s="1"/>
  <c r="P19" i="15"/>
  <c r="Q19" i="15" s="1"/>
  <c r="N19" i="15"/>
  <c r="K19" i="15"/>
  <c r="L19" i="15" s="1"/>
  <c r="I19" i="15"/>
  <c r="G19" i="15"/>
  <c r="E19" i="15"/>
  <c r="C19" i="15"/>
  <c r="H19" i="15" s="1"/>
  <c r="AV18" i="15"/>
  <c r="AW18" i="15" s="1"/>
  <c r="AS18" i="15"/>
  <c r="AT18" i="15" s="1"/>
  <c r="AP18" i="15"/>
  <c r="AQ18" i="15" s="1"/>
  <c r="AN18" i="15"/>
  <c r="AM18" i="15"/>
  <c r="AJ18" i="15"/>
  <c r="AK18" i="15" s="1"/>
  <c r="AG18" i="15"/>
  <c r="AH18" i="15" s="1"/>
  <c r="AC18" i="15"/>
  <c r="Z18" i="15"/>
  <c r="Y18" i="15"/>
  <c r="AA18" i="15" s="1"/>
  <c r="W18" i="15"/>
  <c r="X18" i="15" s="1"/>
  <c r="T18" i="15"/>
  <c r="U18" i="15" s="1"/>
  <c r="S18" i="15"/>
  <c r="P18" i="15"/>
  <c r="N18" i="15"/>
  <c r="Q18" i="15" s="1"/>
  <c r="K18" i="15"/>
  <c r="L18" i="15" s="1"/>
  <c r="G18" i="15"/>
  <c r="E18" i="15"/>
  <c r="H18" i="15" s="1"/>
  <c r="I18" i="15" s="1"/>
  <c r="C18" i="15"/>
  <c r="AW17" i="15"/>
  <c r="AV17" i="15"/>
  <c r="AT17" i="15"/>
  <c r="AS17" i="15"/>
  <c r="AQ17" i="15"/>
  <c r="AP17" i="15"/>
  <c r="AN17" i="15"/>
  <c r="AM17" i="15"/>
  <c r="AK17" i="15"/>
  <c r="AJ17" i="15"/>
  <c r="AH17" i="15"/>
  <c r="AG17" i="15"/>
  <c r="AC17" i="15"/>
  <c r="Z17" i="15"/>
  <c r="Y17" i="15"/>
  <c r="AA17" i="15" s="1"/>
  <c r="X17" i="15"/>
  <c r="W17" i="15"/>
  <c r="T17" i="15"/>
  <c r="U17" i="15" s="1"/>
  <c r="S17" i="15"/>
  <c r="P17" i="15"/>
  <c r="N17" i="15"/>
  <c r="Q17" i="15" s="1"/>
  <c r="L17" i="15"/>
  <c r="K17" i="15"/>
  <c r="G17" i="15"/>
  <c r="H17" i="15" s="1"/>
  <c r="I17" i="15" s="1"/>
  <c r="E17" i="15"/>
  <c r="C17" i="15"/>
  <c r="AV16" i="15"/>
  <c r="AW16" i="15" s="1"/>
  <c r="AS16" i="15"/>
  <c r="AT16" i="15" s="1"/>
  <c r="AP16" i="15"/>
  <c r="AQ16" i="15" s="1"/>
  <c r="AM16" i="15"/>
  <c r="AN16" i="15" s="1"/>
  <c r="AJ16" i="15"/>
  <c r="AK16" i="15" s="1"/>
  <c r="AG16" i="15"/>
  <c r="AH16" i="15" s="1"/>
  <c r="AC16" i="15"/>
  <c r="Z16" i="15"/>
  <c r="X16" i="15"/>
  <c r="Y16" i="15" s="1"/>
  <c r="AA16" i="15" s="1"/>
  <c r="W16" i="15"/>
  <c r="S16" i="15"/>
  <c r="T16" i="15" s="1"/>
  <c r="U16" i="15" s="1"/>
  <c r="Q16" i="15"/>
  <c r="P16" i="15"/>
  <c r="N16" i="15"/>
  <c r="K16" i="15"/>
  <c r="L16" i="15" s="1"/>
  <c r="G16" i="15"/>
  <c r="E16" i="15"/>
  <c r="H16" i="15" s="1"/>
  <c r="I16" i="15" s="1"/>
  <c r="C16" i="15"/>
  <c r="AV15" i="15"/>
  <c r="AW15" i="15" s="1"/>
  <c r="AT15" i="15"/>
  <c r="AS15" i="15"/>
  <c r="AP15" i="15"/>
  <c r="AQ15" i="15" s="1"/>
  <c r="AN15" i="15"/>
  <c r="AM15" i="15"/>
  <c r="AJ15" i="15"/>
  <c r="AK15" i="15" s="1"/>
  <c r="AH15" i="15"/>
  <c r="AG15" i="15"/>
  <c r="AC15" i="15"/>
  <c r="Z15" i="15"/>
  <c r="X15" i="15"/>
  <c r="Y15" i="15" s="1"/>
  <c r="AA15" i="15" s="1"/>
  <c r="W15" i="15"/>
  <c r="S15" i="15"/>
  <c r="T15" i="15" s="1"/>
  <c r="U15" i="15" s="1"/>
  <c r="Q15" i="15"/>
  <c r="P15" i="15"/>
  <c r="N15" i="15"/>
  <c r="K15" i="15"/>
  <c r="L15" i="15" s="1"/>
  <c r="G15" i="15"/>
  <c r="E15" i="15"/>
  <c r="H15" i="15" s="1"/>
  <c r="I15" i="15" s="1"/>
  <c r="C15" i="15"/>
  <c r="AV14" i="15"/>
  <c r="AW14" i="15" s="1"/>
  <c r="AT14" i="15"/>
  <c r="AS14" i="15"/>
  <c r="AP14" i="15"/>
  <c r="AQ14" i="15" s="1"/>
  <c r="AN14" i="15"/>
  <c r="AM14" i="15"/>
  <c r="AJ14" i="15"/>
  <c r="AK14" i="15" s="1"/>
  <c r="AH14" i="15"/>
  <c r="AG14" i="15"/>
  <c r="AC14" i="15"/>
  <c r="Z14" i="15"/>
  <c r="W14" i="15"/>
  <c r="X14" i="15" s="1"/>
  <c r="Y14" i="15" s="1"/>
  <c r="AA14" i="15" s="1"/>
  <c r="S14" i="15"/>
  <c r="T14" i="15" s="1"/>
  <c r="U14" i="15" s="1"/>
  <c r="P14" i="15"/>
  <c r="Q14" i="15" s="1"/>
  <c r="N14" i="15"/>
  <c r="K14" i="15"/>
  <c r="L14" i="15" s="1"/>
  <c r="G14" i="15"/>
  <c r="E14" i="15"/>
  <c r="C14" i="15"/>
  <c r="H14" i="15" s="1"/>
  <c r="I14" i="15" s="1"/>
  <c r="AV13" i="15"/>
  <c r="AW13" i="15" s="1"/>
  <c r="AS13" i="15"/>
  <c r="AT13" i="15" s="1"/>
  <c r="AP13" i="15"/>
  <c r="AQ13" i="15" s="1"/>
  <c r="AM13" i="15"/>
  <c r="AN13" i="15" s="1"/>
  <c r="AJ13" i="15"/>
  <c r="AK13" i="15" s="1"/>
  <c r="AG13" i="15"/>
  <c r="AH13" i="15" s="1"/>
  <c r="AC13" i="15"/>
  <c r="Z13" i="15"/>
  <c r="W13" i="15"/>
  <c r="X13" i="15" s="1"/>
  <c r="Y13" i="15" s="1"/>
  <c r="AA13" i="15" s="1"/>
  <c r="T13" i="15"/>
  <c r="U13" i="15" s="1"/>
  <c r="S13" i="15"/>
  <c r="P13" i="15"/>
  <c r="N13" i="15"/>
  <c r="Q13" i="15" s="1"/>
  <c r="K13" i="15"/>
  <c r="L13" i="15" s="1"/>
  <c r="H13" i="15"/>
  <c r="I13" i="15" s="1"/>
  <c r="G13" i="15"/>
  <c r="E13" i="15"/>
  <c r="C13" i="15"/>
  <c r="AW12" i="15"/>
  <c r="AV12" i="15"/>
  <c r="AS12" i="15"/>
  <c r="AT12" i="15" s="1"/>
  <c r="AQ12" i="15"/>
  <c r="AP12" i="15"/>
  <c r="AM12" i="15"/>
  <c r="AN12" i="15" s="1"/>
  <c r="AK12" i="15"/>
  <c r="AJ12" i="15"/>
  <c r="AG12" i="15"/>
  <c r="AH12" i="15" s="1"/>
  <c r="AC12" i="15"/>
  <c r="Z12" i="15"/>
  <c r="X12" i="15"/>
  <c r="Y12" i="15" s="1"/>
  <c r="AA12" i="15" s="1"/>
  <c r="W12" i="15"/>
  <c r="S12" i="15"/>
  <c r="T12" i="15" s="1"/>
  <c r="U12" i="15" s="1"/>
  <c r="P12" i="15"/>
  <c r="N12" i="15"/>
  <c r="Q12" i="15" s="1"/>
  <c r="L12" i="15"/>
  <c r="K12" i="15"/>
  <c r="G12" i="15"/>
  <c r="H12" i="15" s="1"/>
  <c r="I12" i="15" s="1"/>
  <c r="E12" i="15"/>
  <c r="C12" i="15"/>
  <c r="AV11" i="15"/>
  <c r="AW11" i="15" s="1"/>
  <c r="AS11" i="15"/>
  <c r="AT11" i="15" s="1"/>
  <c r="AP11" i="15"/>
  <c r="AQ11" i="15" s="1"/>
  <c r="AM11" i="15"/>
  <c r="AN11" i="15" s="1"/>
  <c r="AJ11" i="15"/>
  <c r="AK11" i="15" s="1"/>
  <c r="AG11" i="15"/>
  <c r="AH11" i="15" s="1"/>
  <c r="AC11" i="15"/>
  <c r="Z11" i="15"/>
  <c r="W11" i="15"/>
  <c r="X11" i="15" s="1"/>
  <c r="Y11" i="15" s="1"/>
  <c r="AA11" i="15" s="1"/>
  <c r="S11" i="15"/>
  <c r="T11" i="15" s="1"/>
  <c r="U11" i="15" s="1"/>
  <c r="Q11" i="15"/>
  <c r="P11" i="15"/>
  <c r="N11" i="15"/>
  <c r="K11" i="15"/>
  <c r="L11" i="15" s="1"/>
  <c r="G11" i="15"/>
  <c r="E11" i="15"/>
  <c r="H11" i="15" s="1"/>
  <c r="I11" i="15" s="1"/>
  <c r="C11" i="15"/>
  <c r="AV10" i="15"/>
  <c r="AW10" i="15" s="1"/>
  <c r="AT10" i="15"/>
  <c r="AS10" i="15"/>
  <c r="AP10" i="15"/>
  <c r="AQ10" i="15" s="1"/>
  <c r="AN10" i="15"/>
  <c r="AM10" i="15"/>
  <c r="AJ10" i="15"/>
  <c r="AK10" i="15" s="1"/>
  <c r="AH10" i="15"/>
  <c r="AG10" i="15"/>
  <c r="AC10" i="15"/>
  <c r="Z10" i="15"/>
  <c r="W10" i="15"/>
  <c r="X10" i="15" s="1"/>
  <c r="Y10" i="15" s="1"/>
  <c r="AA10" i="15" s="1"/>
  <c r="S10" i="15"/>
  <c r="T10" i="15" s="1"/>
  <c r="U10" i="15" s="1"/>
  <c r="P10" i="15"/>
  <c r="Q10" i="15" s="1"/>
  <c r="N10" i="15"/>
  <c r="K10" i="15"/>
  <c r="L10" i="15" s="1"/>
  <c r="G10" i="15"/>
  <c r="E10" i="15"/>
  <c r="C10" i="15"/>
  <c r="H10" i="15" s="1"/>
  <c r="I10" i="15" s="1"/>
  <c r="AV9" i="15"/>
  <c r="AW9" i="15" s="1"/>
  <c r="AS9" i="15"/>
  <c r="AT9" i="15" s="1"/>
  <c r="AP9" i="15"/>
  <c r="AQ9" i="15" s="1"/>
  <c r="AM9" i="15"/>
  <c r="AN9" i="15" s="1"/>
  <c r="AJ9" i="15"/>
  <c r="AK9" i="15" s="1"/>
  <c r="AG9" i="15"/>
  <c r="AH9" i="15" s="1"/>
  <c r="AC9" i="15"/>
  <c r="Z9" i="15"/>
  <c r="W9" i="15"/>
  <c r="X9" i="15" s="1"/>
  <c r="Y9" i="15" s="1"/>
  <c r="AA9" i="15" s="1"/>
  <c r="T9" i="15"/>
  <c r="U9" i="15" s="1"/>
  <c r="S9" i="15"/>
  <c r="P9" i="15"/>
  <c r="N9" i="15"/>
  <c r="N35" i="15" s="1"/>
  <c r="K9" i="15"/>
  <c r="L9" i="15" s="1"/>
  <c r="H9" i="15"/>
  <c r="I9" i="15" s="1"/>
  <c r="G9" i="15"/>
  <c r="E9" i="15"/>
  <c r="C9" i="15"/>
  <c r="AW8" i="15"/>
  <c r="AV8" i="15"/>
  <c r="AS8" i="15"/>
  <c r="AT8" i="15" s="1"/>
  <c r="AQ8" i="15"/>
  <c r="AP8" i="15"/>
  <c r="AM8" i="15"/>
  <c r="AN8" i="15" s="1"/>
  <c r="AK8" i="15"/>
  <c r="AJ8" i="15"/>
  <c r="AG8" i="15"/>
  <c r="AH8" i="15" s="1"/>
  <c r="AC8" i="15"/>
  <c r="Z8" i="15"/>
  <c r="X8" i="15"/>
  <c r="Y8" i="15" s="1"/>
  <c r="AA8" i="15" s="1"/>
  <c r="W8" i="15"/>
  <c r="S8" i="15"/>
  <c r="T8" i="15" s="1"/>
  <c r="U8" i="15" s="1"/>
  <c r="P8" i="15"/>
  <c r="N8" i="15"/>
  <c r="Q8" i="15" s="1"/>
  <c r="L8" i="15"/>
  <c r="K8" i="15"/>
  <c r="G8" i="15"/>
  <c r="H8" i="15" s="1"/>
  <c r="I8" i="15" s="1"/>
  <c r="E8" i="15"/>
  <c r="C8" i="15"/>
  <c r="AV7" i="15"/>
  <c r="AW7" i="15" s="1"/>
  <c r="AS7" i="15"/>
  <c r="AT7" i="15" s="1"/>
  <c r="AP7" i="15"/>
  <c r="AQ7" i="15" s="1"/>
  <c r="AM7" i="15"/>
  <c r="AN7" i="15" s="1"/>
  <c r="AJ7" i="15"/>
  <c r="AK7" i="15" s="1"/>
  <c r="AG7" i="15"/>
  <c r="AH7" i="15" s="1"/>
  <c r="AC7" i="15"/>
  <c r="Z7" i="15"/>
  <c r="W7" i="15"/>
  <c r="W35" i="15" s="1"/>
  <c r="S7" i="15"/>
  <c r="T7" i="15" s="1"/>
  <c r="U7" i="15" s="1"/>
  <c r="Q7" i="15"/>
  <c r="P7" i="15"/>
  <c r="N7" i="15"/>
  <c r="K7" i="15"/>
  <c r="L7" i="15" s="1"/>
  <c r="G7" i="15"/>
  <c r="E7" i="15"/>
  <c r="H7" i="15" s="1"/>
  <c r="I7" i="15" s="1"/>
  <c r="C7" i="15"/>
  <c r="AV6" i="15"/>
  <c r="AV35" i="15" s="1"/>
  <c r="AT6" i="15"/>
  <c r="AS6" i="15"/>
  <c r="AP6" i="15"/>
  <c r="AN6" i="15"/>
  <c r="AM6" i="15"/>
  <c r="AM35" i="15" s="1"/>
  <c r="AJ6" i="15"/>
  <c r="AK6" i="15" s="1"/>
  <c r="AK35" i="15" s="1"/>
  <c r="AH6" i="15"/>
  <c r="AG6" i="15"/>
  <c r="AC6" i="15"/>
  <c r="Z6" i="15"/>
  <c r="W6" i="15"/>
  <c r="X6" i="15" s="1"/>
  <c r="Y6" i="15" s="1"/>
  <c r="AA6" i="15" s="1"/>
  <c r="S6" i="15"/>
  <c r="P6" i="15"/>
  <c r="Q6" i="15" s="1"/>
  <c r="N6" i="15"/>
  <c r="K6" i="15"/>
  <c r="G6" i="15"/>
  <c r="E6" i="15"/>
  <c r="E35" i="15" s="1"/>
  <c r="C6" i="15"/>
  <c r="C35" i="15" s="1"/>
  <c r="AW5" i="15"/>
  <c r="AT5" i="15"/>
  <c r="AQ5" i="15"/>
  <c r="AN5" i="15"/>
  <c r="AK5" i="15"/>
  <c r="AH5" i="15"/>
  <c r="Z5" i="15"/>
  <c r="Z35" i="15" s="1"/>
  <c r="X5" i="15"/>
  <c r="T5" i="15"/>
  <c r="Q5" i="15"/>
  <c r="L5" i="15"/>
  <c r="H5" i="15"/>
  <c r="I5" i="15" s="1"/>
  <c r="L58" i="15" l="1"/>
  <c r="AB49" i="15"/>
  <c r="AN35" i="15"/>
  <c r="U5" i="15"/>
  <c r="K35" i="15"/>
  <c r="AP35" i="15"/>
  <c r="X7" i="15"/>
  <c r="Y7" i="15" s="1"/>
  <c r="AA7" i="15" s="1"/>
  <c r="P35" i="15"/>
  <c r="AJ35" i="15"/>
  <c r="AS35" i="15"/>
  <c r="X35" i="15"/>
  <c r="Z38" i="15" s="1"/>
  <c r="AH35" i="15"/>
  <c r="AT35" i="15"/>
  <c r="G35" i="15"/>
  <c r="L6" i="15"/>
  <c r="S35" i="15"/>
  <c r="AC35" i="15"/>
  <c r="AD38" i="15" s="1"/>
  <c r="AQ6" i="15"/>
  <c r="AQ35" i="15" s="1"/>
  <c r="AW6" i="15"/>
  <c r="AW35" i="15" s="1"/>
  <c r="Q9" i="15"/>
  <c r="Q35" i="15" s="1"/>
  <c r="H23" i="15"/>
  <c r="I23" i="15" s="1"/>
  <c r="AB48" i="15"/>
  <c r="B50" i="15"/>
  <c r="R50" i="15"/>
  <c r="AB46" i="15"/>
  <c r="Y5" i="15"/>
  <c r="H6" i="15"/>
  <c r="I6" i="15" s="1"/>
  <c r="T6" i="15"/>
  <c r="U6" i="15" s="1"/>
  <c r="AG35" i="15"/>
  <c r="H26" i="15"/>
  <c r="I26" i="15" s="1"/>
  <c r="Q34" i="15"/>
  <c r="Q26" i="15"/>
  <c r="H28" i="15"/>
  <c r="I28" i="15" s="1"/>
  <c r="M38" i="15" l="1"/>
  <c r="L35" i="15"/>
  <c r="T35" i="15"/>
  <c r="T38" i="15" s="1"/>
  <c r="H35" i="15"/>
  <c r="I35" i="15" s="1"/>
  <c r="U35" i="15"/>
  <c r="AB50" i="15"/>
  <c r="Y35" i="15"/>
  <c r="AA5" i="15"/>
  <c r="AA35" i="15" s="1"/>
  <c r="AE38" i="15"/>
  <c r="L38" i="15" l="1"/>
  <c r="L41" i="15" s="1"/>
  <c r="M41" i="15" s="1"/>
  <c r="W47" i="15"/>
  <c r="L47" i="15"/>
  <c r="Z55" i="15" s="1"/>
  <c r="L49" i="15"/>
  <c r="Z57" i="15" s="1"/>
  <c r="W49" i="15"/>
  <c r="X38" i="15"/>
  <c r="X41" i="15" s="1"/>
  <c r="AG41" i="15" s="1"/>
  <c r="Z41" i="15" s="1"/>
  <c r="L48" i="15"/>
  <c r="Z56" i="15" s="1"/>
  <c r="R38" i="15"/>
  <c r="R41" i="15" s="1"/>
  <c r="T41" i="15" s="1"/>
  <c r="W48" i="15"/>
  <c r="D38" i="15"/>
  <c r="W46" i="15"/>
  <c r="L46" i="15"/>
  <c r="Z54" i="15" s="1"/>
  <c r="R54" i="15" l="1"/>
  <c r="W50" i="15"/>
  <c r="AF46" i="15"/>
  <c r="Y46" i="15"/>
  <c r="AD57" i="15"/>
  <c r="AA57" i="15"/>
  <c r="AE57" i="15" s="1"/>
  <c r="AD56" i="15"/>
  <c r="AA56" i="15"/>
  <c r="AE56" i="15" s="1"/>
  <c r="D41" i="15"/>
  <c r="G41" i="15" s="1"/>
  <c r="G38" i="15"/>
  <c r="AA55" i="15"/>
  <c r="AE55" i="15" s="1"/>
  <c r="AD55" i="15"/>
  <c r="AF47" i="15"/>
  <c r="R55" i="15"/>
  <c r="W55" i="15" s="1"/>
  <c r="Y47" i="15"/>
  <c r="AD54" i="15"/>
  <c r="AD58" i="15" s="1"/>
  <c r="Z58" i="15"/>
  <c r="AA54" i="15"/>
  <c r="AF48" i="15"/>
  <c r="R56" i="15"/>
  <c r="W56" i="15" s="1"/>
  <c r="Y48" i="15"/>
  <c r="AF49" i="15"/>
  <c r="R57" i="15"/>
  <c r="W57" i="15" s="1"/>
  <c r="Y49" i="15"/>
  <c r="AH49" i="15" l="1"/>
  <c r="AG49" i="15"/>
  <c r="X51" i="15"/>
  <c r="B51" i="15" s="1"/>
  <c r="Y50" i="15"/>
  <c r="AH48" i="15"/>
  <c r="AG48" i="15"/>
  <c r="AF50" i="15"/>
  <c r="AH46" i="15"/>
  <c r="AG46" i="15"/>
  <c r="AA58" i="15"/>
  <c r="AE54" i="15"/>
  <c r="AE58" i="15" s="1"/>
  <c r="AH47" i="15"/>
  <c r="AG47" i="15"/>
  <c r="R58" i="15"/>
  <c r="X59" i="15" s="1"/>
  <c r="B59" i="15" s="1"/>
  <c r="W54" i="15"/>
  <c r="W58" i="15" s="1"/>
  <c r="AF51" i="15" l="1"/>
  <c r="AG50" i="15"/>
  <c r="E2" i="4" l="1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<sst xmlns="http://schemas.openxmlformats.org/spreadsheetml/2006/main" count="249" uniqueCount="105">
  <si>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</si>
  <si>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</si>
  <si>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</si>
  <si>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</si>
  <si>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</si>
  <si>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</si>
  <si>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</si>
  <si>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</si>
  <si>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</si>
  <si>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</si>
  <si>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</si>
  <si>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</si>
  <si>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</si>
  <si>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</si>
  <si>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</si>
  <si>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</si>
  <si>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</si>
  <si>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</si>
  <si>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</si>
  <si>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</si>
  <si>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</si>
  <si>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</si>
  <si>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</si>
  <si>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</si>
  <si>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</si>
  <si>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</si>
  <si>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</si>
  <si>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</si>
  <si>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</si>
  <si>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</si>
  <si>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</si>
  <si>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</si>
  <si>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</si>
  <si>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</si>
  <si>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</si>
  <si>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</si>
  <si>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</si>
  <si>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</si>
  <si>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</si>
  <si>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</si>
  <si>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</si>
  <si>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</si>
  <si>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</si>
  <si>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</si>
  <si>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</si>
  <si>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</si>
  <si>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</si>
  <si>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</si>
  <si>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</si>
  <si>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</si>
  <si>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</si>
  <si>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</si>
  <si>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</si>
  <si>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</si>
  <si>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</si>
  <si>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</si>
  <si>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</si>
  <si>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</si>
  <si>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</si>
  <si>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</si>
  <si>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</si>
  <si>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</si>
  <si>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</si>
  <si>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</si>
  <si>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</si>
  <si>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</si>
  <si>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</si>
  <si>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</si>
  <si>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</si>
  <si>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</si>
  <si>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</si>
  <si>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</si>
  <si>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</si>
  <si>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</si>
  <si>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</si>
  <si>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</si>
  <si>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</si>
  <si>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</si>
  <si>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</si>
  <si>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</si>
  <si>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</si>
  <si>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</si>
  <si>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</si>
  <si>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</si>
  <si>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</si>
  <si>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</si>
  <si>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</si>
  <si>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</si>
  <si>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</si>
  <si>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</si>
  <si>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</si>
  <si>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(Actual 2024 YTD)</t>
  </si>
  <si>
    <t>Actual April 2024</t>
  </si>
  <si>
    <t>PEARL ROTANA CAPITAL CENTRE UTILITIES CONSUMPTION - APRIL 2024</t>
  </si>
  <si>
    <t>ETS Energy Meter Reading</t>
  </si>
  <si>
    <t>ETS Cons.</t>
  </si>
  <si>
    <t>CHW Fixed Charges YTD 2023</t>
  </si>
  <si>
    <t>Budget April 2024</t>
  </si>
  <si>
    <t>CHW Consumption Charges (Budgeted 2024 MTD)</t>
  </si>
  <si>
    <t>Actual April 2023</t>
  </si>
  <si>
    <t>CHW Consumption Charges (Actual 2023 MTD)</t>
  </si>
  <si>
    <t>Budget YTD 2024</t>
  </si>
  <si>
    <t>CHW Consumption Charges (Budgeted 2024 YTD)</t>
  </si>
  <si>
    <t>Actual YTD 2023</t>
  </si>
  <si>
    <t>CHW Consumption Charges (Actual 2023 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</si>
</sst>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  <numFmt numFmtId="170" formatCode="0.0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4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5" xfId="0" applyFont="1" applyBorder="1" applyAlignment="1">
      <alignment horizontal="center"/>
    </xf>
    <xf numFmtId="0" fontId="32" fillId="0" borderId="15" xfId="0" applyFont="1" applyBorder="1" applyAlignment="1">
      <alignment horizontal="center"/>
    </xf>
    <xf numFmtId="0" fontId="31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 wrapText="1"/>
    </xf>
    <xf numFmtId="0" fontId="33" fillId="0" borderId="15" xfId="0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1" fontId="34" fillId="0" borderId="15" xfId="0" applyNumberFormat="1" applyFont="1" applyBorder="1" applyAlignment="1">
      <alignment horizontal="center" vertical="center" wrapText="1"/>
    </xf>
    <xf numFmtId="169" fontId="33" fillId="0" borderId="15" xfId="0" applyNumberFormat="1" applyFont="1" applyBorder="1" applyAlignment="1">
      <alignment horizontal="center" vertical="center" wrapText="1"/>
    </xf>
    <xf numFmtId="1" fontId="31" fillId="0" borderId="1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38" xfId="18" applyFont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4" fontId="22" fillId="6" borderId="23" xfId="18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5" xfId="0" applyFont="1" applyBorder="1" applyAlignment="1">
      <alignment vertical="center"/>
    </xf>
    <xf numFmtId="165" fontId="17" fillId="0" borderId="36" xfId="18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164" fontId="17" fillId="0" borderId="38" xfId="18" applyFont="1" applyBorder="1" applyAlignment="1">
      <alignment vertical="center"/>
    </xf>
    <xf numFmtId="166" fontId="19" fillId="0" borderId="36" xfId="20" applyNumberFormat="1" applyFont="1" applyBorder="1" applyAlignment="1">
      <alignment horizontal="center" vertical="center"/>
    </xf>
    <xf numFmtId="166" fontId="19" fillId="0" borderId="38" xfId="20" applyNumberFormat="1" applyFont="1" applyBorder="1" applyAlignment="1">
      <alignment horizontal="center" vertical="center"/>
    </xf>
    <xf numFmtId="4" fontId="18" fillId="0" borderId="36" xfId="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44" xfId="0" applyNumberFormat="1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4" fontId="2" fillId="0" borderId="41" xfId="0" applyNumberFormat="1" applyFont="1" applyBorder="1" applyAlignment="1">
      <alignment horizontal="center" vertical="center"/>
    </xf>
    <xf numFmtId="4" fontId="2" fillId="0" borderId="42" xfId="0" applyNumberFormat="1" applyFont="1" applyBorder="1" applyAlignment="1">
      <alignment horizontal="center" vertical="center"/>
    </xf>
    <xf numFmtId="164" fontId="3" fillId="0" borderId="28" xfId="18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3" fillId="0" borderId="31" xfId="18" applyNumberFormat="1" applyFont="1" applyBorder="1" applyAlignment="1">
      <alignment horizontal="center" vertical="center"/>
    </xf>
    <xf numFmtId="3" fontId="3" fillId="0" borderId="31" xfId="0" applyNumberFormat="1" applyFont="1" applyBorder="1" applyAlignment="1">
      <alignment horizontal="center" vertical="center"/>
    </xf>
    <xf numFmtId="10" fontId="2" fillId="0" borderId="3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164" fontId="3" fillId="0" borderId="32" xfId="18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" fontId="25" fillId="0" borderId="23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6" xfId="0" applyBorder="1" applyAlignment="1">
      <alignment horizontal="center" vertical="center"/>
    </xf>
    <xf numFmtId="14" fontId="0" fillId="0" borderId="55" xfId="0" applyNumberFormat="1" applyBorder="1" applyAlignment="1">
      <alignment horizontal="center" vertical="center"/>
    </xf>
    <xf numFmtId="1" fontId="25" fillId="0" borderId="46" xfId="0" applyNumberFormat="1" applyFont="1" applyBorder="1" applyAlignment="1">
      <alignment horizontal="center" vertical="center"/>
    </xf>
    <xf numFmtId="164" fontId="3" fillId="0" borderId="56" xfId="18" applyFont="1" applyBorder="1" applyAlignment="1">
      <alignment horizontal="center" vertical="center"/>
    </xf>
    <xf numFmtId="164" fontId="3" fillId="0" borderId="47" xfId="18" applyFont="1" applyBorder="1" applyAlignment="1">
      <alignment horizontal="center" vertical="center"/>
    </xf>
    <xf numFmtId="3" fontId="3" fillId="0" borderId="46" xfId="0" applyNumberFormat="1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" fillId="4" borderId="48" xfId="0" applyFont="1" applyFill="1" applyBorder="1" applyAlignment="1">
      <alignment horizontal="center" vertical="center" wrapText="1"/>
    </xf>
    <xf numFmtId="0" fontId="2" fillId="4" borderId="57" xfId="0" applyFont="1" applyFill="1" applyBorder="1" applyAlignment="1">
      <alignment horizontal="center" vertical="center" wrapText="1"/>
    </xf>
    <xf numFmtId="0" fontId="2" fillId="7" borderId="48" xfId="0" applyFont="1" applyFill="1" applyBorder="1" applyAlignment="1">
      <alignment horizontal="center" vertical="center" wrapText="1"/>
    </xf>
    <xf numFmtId="43" fontId="18" fillId="0" borderId="43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vertical="center"/>
    </xf>
    <xf numFmtId="164" fontId="3" fillId="0" borderId="24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59" xfId="0" applyFont="1" applyBorder="1"/>
    <xf numFmtId="1" fontId="8" fillId="0" borderId="59" xfId="0" applyNumberFormat="1" applyFont="1" applyBorder="1"/>
    <xf numFmtId="3" fontId="8" fillId="0" borderId="59" xfId="0" applyNumberFormat="1" applyFont="1" applyBorder="1"/>
    <xf numFmtId="3" fontId="8" fillId="6" borderId="59" xfId="0" applyNumberFormat="1" applyFont="1" applyFill="1" applyBorder="1"/>
    <xf numFmtId="3" fontId="0" fillId="0" borderId="59" xfId="0" applyNumberFormat="1" applyBorder="1"/>
    <xf numFmtId="2" fontId="19" fillId="0" borderId="36" xfId="20" applyNumberFormat="1" applyFont="1" applyBorder="1" applyAlignment="1">
      <alignment horizontal="right" vertical="center"/>
    </xf>
    <xf numFmtId="166" fontId="19" fillId="0" borderId="36" xfId="20" applyNumberFormat="1" applyFont="1" applyBorder="1" applyAlignment="1">
      <alignment horizontal="right" vertical="center"/>
    </xf>
    <xf numFmtId="166" fontId="19" fillId="0" borderId="38" xfId="20" applyNumberFormat="1" applyFont="1" applyBorder="1" applyAlignment="1">
      <alignment horizontal="right" vertical="center"/>
    </xf>
    <xf numFmtId="4" fontId="8" fillId="8" borderId="59" xfId="0" applyNumberFormat="1" applyFont="1" applyFill="1" applyBorder="1"/>
    <xf numFmtId="164" fontId="17" fillId="0" borderId="36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3" xfId="18" applyFont="1" applyBorder="1" applyAlignment="1">
      <alignment vertical="center"/>
    </xf>
    <xf numFmtId="167" fontId="15" fillId="0" borderId="23" xfId="18" applyNumberFormat="1" applyFont="1" applyBorder="1" applyAlignment="1">
      <alignment horizontal="center" vertical="center"/>
    </xf>
    <xf numFmtId="167" fontId="21" fillId="0" borderId="36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 wrapText="1"/>
    </xf>
    <xf numFmtId="164" fontId="17" fillId="0" borderId="40" xfId="18" applyFont="1" applyBorder="1" applyAlignment="1">
      <alignment vertical="center"/>
    </xf>
    <xf numFmtId="167" fontId="15" fillId="0" borderId="40" xfId="18" applyNumberFormat="1" applyFont="1" applyBorder="1" applyAlignment="1">
      <alignment horizontal="center" vertical="center"/>
    </xf>
    <xf numFmtId="167" fontId="21" fillId="0" borderId="38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2" fillId="0" borderId="65" xfId="0" applyNumberFormat="1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14" fontId="2" fillId="0" borderId="11" xfId="0" applyNumberFormat="1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78" xfId="0" applyBorder="1"/>
    <xf numFmtId="0" fontId="8" fillId="0" borderId="77" xfId="0" applyFont="1" applyBorder="1"/>
    <xf numFmtId="0" fontId="8" fillId="0" borderId="76" xfId="0" applyFont="1" applyBorder="1"/>
    <xf numFmtId="0" fontId="8" fillId="0" borderId="79" xfId="0" applyFont="1" applyBorder="1"/>
    <xf numFmtId="0" fontId="8" fillId="0" borderId="80" xfId="0" applyFont="1" applyBorder="1"/>
    <xf numFmtId="0" fontId="0" fillId="0" borderId="83" xfId="0" applyBorder="1"/>
    <xf numFmtId="4" fontId="8" fillId="8" borderId="62" xfId="0" applyNumberFormat="1" applyFont="1" applyFill="1" applyBorder="1"/>
    <xf numFmtId="0" fontId="0" fillId="0" borderId="81" xfId="0" applyBorder="1"/>
    <xf numFmtId="0" fontId="0" fillId="0" borderId="82" xfId="0" applyBorder="1"/>
    <xf numFmtId="43" fontId="18" fillId="0" borderId="61" xfId="0" applyNumberFormat="1" applyFont="1" applyBorder="1" applyAlignment="1">
      <alignment horizontal="center" vertical="center"/>
    </xf>
    <xf numFmtId="170" fontId="36" fillId="0" borderId="0" xfId="0" applyNumberFormat="1" applyFont="1" applyAlignment="1">
      <alignment horizontal="center"/>
    </xf>
    <xf numFmtId="2" fontId="0" fillId="0" borderId="23" xfId="0" applyNumberFormat="1" applyBorder="1" applyAlignment="1">
      <alignment horizontal="center" vertical="center"/>
    </xf>
    <xf numFmtId="2" fontId="3" fillId="0" borderId="23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2" fontId="2" fillId="0" borderId="31" xfId="0" applyNumberFormat="1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5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8" fillId="6" borderId="64" xfId="0" applyNumberFormat="1" applyFont="1" applyFill="1" applyBorder="1" applyAlignment="1">
      <alignment horizontal="center" vertical="center"/>
    </xf>
    <xf numFmtId="14" fontId="29" fillId="6" borderId="15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19" xfId="0" applyFont="1" applyFill="1" applyBorder="1" applyAlignment="1">
      <alignment horizontal="center" vertical="center"/>
    </xf>
    <xf numFmtId="0" fontId="23" fillId="4" borderId="20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3" borderId="19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8" xfId="0" applyFont="1" applyFill="1" applyBorder="1" applyAlignment="1">
      <alignment horizontal="center" vertical="center" wrapText="1"/>
    </xf>
    <xf numFmtId="0" fontId="8" fillId="0" borderId="74" xfId="0" applyFont="1" applyBorder="1" applyAlignment="1">
      <alignment horizontal="left"/>
    </xf>
    <xf numFmtId="0" fontId="8" fillId="0" borderId="75" xfId="0" applyFont="1" applyBorder="1" applyAlignment="1">
      <alignment horizontal="left"/>
    </xf>
    <xf numFmtId="0" fontId="8" fillId="0" borderId="62" xfId="0" applyFont="1" applyBorder="1" applyAlignment="1">
      <alignment horizontal="left"/>
    </xf>
    <xf numFmtId="0" fontId="8" fillId="6" borderId="22" xfId="0" applyFont="1" applyFill="1" applyBorder="1" applyAlignment="1">
      <alignment horizontal="left" vertical="center"/>
    </xf>
    <xf numFmtId="0" fontId="8" fillId="6" borderId="23" xfId="0" applyFont="1" applyFill="1" applyBorder="1" applyAlignment="1">
      <alignment horizontal="left" vertical="center"/>
    </xf>
    <xf numFmtId="4" fontId="22" fillId="6" borderId="23" xfId="0" applyNumberFormat="1" applyFont="1" applyFill="1" applyBorder="1" applyAlignment="1">
      <alignment horizontal="center" vertical="center"/>
    </xf>
    <xf numFmtId="3" fontId="8" fillId="6" borderId="23" xfId="0" applyNumberFormat="1" applyFont="1" applyFill="1" applyBorder="1" applyAlignment="1">
      <alignment horizontal="center" vertical="center"/>
    </xf>
    <xf numFmtId="3" fontId="8" fillId="6" borderId="24" xfId="0" applyNumberFormat="1" applyFont="1" applyFill="1" applyBorder="1" applyAlignment="1">
      <alignment horizontal="center" vertical="center"/>
    </xf>
    <xf numFmtId="4" fontId="22" fillId="6" borderId="23" xfId="18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0" fontId="23" fillId="7" borderId="20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2" borderId="19" xfId="0" applyFont="1" applyFill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4" fontId="8" fillId="6" borderId="23" xfId="0" applyNumberFormat="1" applyFont="1" applyFill="1" applyBorder="1" applyAlignment="1">
      <alignment horizontal="center" vertical="center"/>
    </xf>
    <xf numFmtId="4" fontId="8" fillId="6" borderId="23" xfId="18" applyNumberFormat="1" applyFont="1" applyFill="1" applyBorder="1" applyAlignment="1">
      <alignment horizontal="center" vertical="center"/>
    </xf>
    <xf numFmtId="3" fontId="8" fillId="6" borderId="28" xfId="0" applyNumberFormat="1" applyFont="1" applyFill="1" applyBorder="1" applyAlignment="1">
      <alignment horizontal="center" vertical="center"/>
    </xf>
    <xf numFmtId="3" fontId="8" fillId="6" borderId="50" xfId="0" applyNumberFormat="1" applyFont="1" applyFill="1" applyBorder="1" applyAlignment="1">
      <alignment horizontal="center" vertical="center"/>
    </xf>
    <xf numFmtId="3" fontId="8" fillId="6" borderId="51" xfId="0" applyNumberFormat="1" applyFont="1" applyFill="1" applyBorder="1" applyAlignment="1">
      <alignment horizontal="center" vertical="center"/>
    </xf>
    <xf numFmtId="0" fontId="8" fillId="6" borderId="60" xfId="0" applyFont="1" applyFill="1" applyBorder="1" applyAlignment="1">
      <alignment horizontal="left" vertical="center"/>
    </xf>
    <xf numFmtId="0" fontId="8" fillId="6" borderId="5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8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14" fontId="16" fillId="0" borderId="33" xfId="0" applyNumberFormat="1" applyFont="1" applyBorder="1" applyAlignment="1">
      <alignment horizontal="center" vertical="center"/>
    </xf>
    <xf numFmtId="14" fontId="16" fillId="0" borderId="39" xfId="0" applyNumberFormat="1" applyFont="1" applyBorder="1" applyAlignment="1">
      <alignment horizontal="center" vertical="center"/>
    </xf>
    <xf numFmtId="14" fontId="16" fillId="0" borderId="34" xfId="0" applyNumberFormat="1" applyFont="1" applyBorder="1" applyAlignment="1">
      <alignment horizontal="center" vertical="center"/>
    </xf>
    <xf numFmtId="0" fontId="16" fillId="0" borderId="67" xfId="0" applyFont="1" applyBorder="1" applyAlignment="1">
      <alignment horizontal="center" vertical="center"/>
    </xf>
    <xf numFmtId="0" fontId="16" fillId="0" borderId="68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164" fontId="19" fillId="0" borderId="28" xfId="18" applyFont="1" applyBorder="1" applyAlignment="1">
      <alignment horizontal="center" vertical="center"/>
    </xf>
    <xf numFmtId="164" fontId="19" fillId="0" borderId="45" xfId="18" applyFont="1" applyBorder="1" applyAlignment="1">
      <alignment horizontal="center" vertical="center"/>
    </xf>
    <xf numFmtId="164" fontId="17" fillId="0" borderId="23" xfId="18" applyFont="1" applyBorder="1" applyAlignment="1">
      <alignment horizontal="center" vertical="center"/>
    </xf>
    <xf numFmtId="164" fontId="17" fillId="0" borderId="36" xfId="18" applyFont="1" applyBorder="1" applyAlignment="1">
      <alignment horizontal="center" vertical="center"/>
    </xf>
    <xf numFmtId="0" fontId="15" fillId="0" borderId="37" xfId="0" applyFont="1" applyBorder="1" applyAlignment="1">
      <alignment horizontal="left" vertical="center"/>
    </xf>
    <xf numFmtId="0" fontId="15" fillId="0" borderId="40" xfId="0" applyFont="1" applyBorder="1" applyAlignment="1">
      <alignment horizontal="left" vertical="center"/>
    </xf>
    <xf numFmtId="164" fontId="19" fillId="0" borderId="53" xfId="18" applyFont="1" applyBorder="1" applyAlignment="1">
      <alignment horizontal="center" vertical="center"/>
    </xf>
    <xf numFmtId="164" fontId="19" fillId="0" borderId="54" xfId="18" applyFont="1" applyBorder="1" applyAlignment="1">
      <alignment horizontal="center" vertical="center"/>
    </xf>
    <xf numFmtId="164" fontId="17" fillId="0" borderId="40" xfId="18" applyFont="1" applyBorder="1" applyAlignment="1">
      <alignment horizontal="center" vertical="center"/>
    </xf>
    <xf numFmtId="164" fontId="17" fillId="0" borderId="38" xfId="18" applyFont="1" applyBorder="1" applyAlignment="1">
      <alignment horizontal="center" vertical="center"/>
    </xf>
    <xf numFmtId="3" fontId="18" fillId="0" borderId="0" xfId="0" applyNumberFormat="1" applyFont="1" applyAlignment="1">
      <alignment horizontal="right"/>
    </xf>
    <xf numFmtId="0" fontId="30" fillId="0" borderId="0" xfId="0" applyFont="1" applyAlignment="1">
      <alignment horizontal="left" vertical="center"/>
    </xf>
    <xf numFmtId="164" fontId="19" fillId="0" borderId="23" xfId="18" applyFont="1" applyBorder="1" applyAlignment="1">
      <alignment horizontal="center" vertical="center"/>
    </xf>
    <xf numFmtId="164" fontId="19" fillId="0" borderId="36" xfId="18" applyFont="1" applyBorder="1" applyAlignment="1">
      <alignment horizontal="center" vertical="center"/>
    </xf>
    <xf numFmtId="164" fontId="19" fillId="0" borderId="40" xfId="18" applyFont="1" applyBorder="1" applyAlignment="1">
      <alignment horizontal="center" vertical="center"/>
    </xf>
    <xf numFmtId="164" fontId="19" fillId="0" borderId="38" xfId="18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85" xfId="0" applyFont="1" applyFill="1" applyBorder="1" applyAlignment="1">
      <alignment horizontal="center" vertical="center" wrapText="1"/>
    </xf>
    <xf numFmtId="0" fontId="2" fillId="5" borderId="64" xfId="0" applyFont="1" applyFill="1" applyBorder="1" applyAlignment="1">
      <alignment horizontal="center" vertical="center" wrapText="1"/>
    </xf>
    <xf numFmtId="0" fontId="2" fillId="7" borderId="49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5" borderId="86" xfId="0" applyFont="1" applyFill="1" applyBorder="1" applyAlignment="1">
      <alignment horizontal="center" vertical="center" wrapText="1"/>
    </xf>
    <xf numFmtId="0" fontId="0" fillId="6" borderId="66" xfId="0" applyFill="1" applyBorder="1" applyAlignment="1">
      <alignment horizontal="center" vertical="center"/>
    </xf>
    <xf numFmtId="2" fontId="0" fillId="0" borderId="46" xfId="0" applyNumberFormat="1" applyBorder="1" applyAlignment="1">
      <alignment horizontal="center" vertical="center"/>
    </xf>
    <xf numFmtId="2" fontId="3" fillId="0" borderId="46" xfId="0" applyNumberFormat="1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9" fontId="0" fillId="0" borderId="63" xfId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9" fontId="0" fillId="0" borderId="29" xfId="0" applyNumberFormat="1" applyBorder="1" applyAlignment="1">
      <alignment horizontal="center" vertical="center"/>
    </xf>
    <xf numFmtId="9" fontId="0" fillId="0" borderId="29" xfId="1" applyFont="1" applyBorder="1" applyAlignment="1">
      <alignment horizontal="center" vertical="center"/>
    </xf>
    <xf numFmtId="9" fontId="26" fillId="0" borderId="29" xfId="0" applyNumberFormat="1" applyFont="1" applyBorder="1" applyAlignment="1">
      <alignment horizontal="center" vertical="center"/>
    </xf>
    <xf numFmtId="2" fontId="3" fillId="6" borderId="23" xfId="0" applyNumberFormat="1" applyFont="1" applyFill="1" applyBorder="1" applyAlignment="1">
      <alignment horizontal="center" vertical="center"/>
    </xf>
    <xf numFmtId="9" fontId="0" fillId="6" borderId="29" xfId="0" applyNumberFormat="1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18" fillId="0" borderId="35" xfId="0" applyNumberFormat="1" applyFont="1" applyBorder="1" applyAlignment="1">
      <alignment horizontal="center" vertical="center"/>
    </xf>
    <xf numFmtId="4" fontId="18" fillId="0" borderId="37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1"/>
  <sheetViews>
    <sheetView tabSelected="1" workbookViewId="0">
      <selection activeCell="M3" sqref="M3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67</v>
      </c>
      <c r="B1" s="27" t="s">
        <v>68</v>
      </c>
      <c r="C1" s="28" t="s">
        <v>69</v>
      </c>
      <c r="D1" s="29" t="s">
        <v>70</v>
      </c>
      <c r="E1" s="30" t="s">
        <v>71</v>
      </c>
      <c r="F1" s="31" t="s">
        <v>72</v>
      </c>
      <c r="G1" s="30" t="s">
        <v>88</v>
      </c>
      <c r="H1" s="31" t="s">
        <v>89</v>
      </c>
      <c r="I1" s="32" t="s">
        <v>86</v>
      </c>
      <c r="J1" s="33" t="s">
        <v>87</v>
      </c>
      <c r="K1" s="34" t="s">
        <v>73</v>
      </c>
      <c r="L1" s="35" t="s">
        <v>74</v>
      </c>
      <c r="M1" s="36" t="s">
        <v>75</v>
      </c>
      <c r="N1" s="30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2024</v>
      </c>
      <c r="E2" s="9">
        <f>Submetering!E2+Submetering!F2+Submetering!G2</f>
        <v>14928</v>
      </c>
      <c r="F2" s="17">
        <v>0.2</v>
      </c>
      <c r="G2" s="9">
        <f>'Apr 2024'!T5</f>
        <v>30.615300000000001</v>
      </c>
      <c r="H2" s="18">
        <v>16.875</v>
      </c>
      <c r="I2" s="9">
        <f>Submetering!H2</f>
        <v>86</v>
      </c>
      <c r="J2" s="17">
        <v>7.84</v>
      </c>
      <c r="K2" s="19">
        <f>'Apr 2024'!X5</f>
        <v>5686.9000000000005</v>
      </c>
      <c r="L2" s="168">
        <v>0.34420000000000001</v>
      </c>
      <c r="M2" s="9">
        <f>Submetering!N2</f>
        <v>242.0145</v>
      </c>
      <c r="N2" s="2">
        <f>Submetering!O2</f>
        <v>336</v>
      </c>
      <c r="O2" s="15"/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2024</v>
      </c>
      <c r="E3" s="9">
        <f>Submetering!E3+Submetering!F3+Submetering!G3</f>
        <v>14950</v>
      </c>
      <c r="F3" s="17">
        <v>0.2</v>
      </c>
      <c r="G3" s="9">
        <f>'Apr 2024'!T6</f>
        <v>35.893800000000006</v>
      </c>
      <c r="H3" s="18">
        <v>16.875</v>
      </c>
      <c r="I3" s="9">
        <f>Submetering!H3</f>
        <v>100</v>
      </c>
      <c r="J3" s="17">
        <v>7.84</v>
      </c>
      <c r="K3" s="19">
        <f>'Apr 2024'!X6</f>
        <v>5402.5550000000003</v>
      </c>
      <c r="L3" s="168">
        <v>0.34420000000000001</v>
      </c>
      <c r="M3" s="9">
        <f>Submetering!N3</f>
        <v>252</v>
      </c>
      <c r="N3" s="2">
        <f>Submetering!O3</f>
        <v>360</v>
      </c>
      <c r="O3" s="15"/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2024</v>
      </c>
      <c r="E4" s="9">
        <f>Submetering!E4+Submetering!F4+Submetering!G4</f>
        <v>14962</v>
      </c>
      <c r="F4" s="17">
        <v>0.2</v>
      </c>
      <c r="G4" s="9">
        <f>'Apr 2024'!T7</f>
        <v>33.782400000000003</v>
      </c>
      <c r="H4" s="18">
        <v>16.875</v>
      </c>
      <c r="I4" s="9">
        <f>Submetering!H4</f>
        <v>99</v>
      </c>
      <c r="J4" s="17">
        <v>7.84</v>
      </c>
      <c r="K4" s="19">
        <f>'Apr 2024'!X7</f>
        <v>5686.9000000000005</v>
      </c>
      <c r="L4" s="168">
        <v>0.34420000000000001</v>
      </c>
      <c r="M4" s="9">
        <f>Submetering!N4</f>
        <v>235.99799999999999</v>
      </c>
      <c r="N4" s="2">
        <f>Submetering!O4</f>
        <v>333</v>
      </c>
      <c r="O4" s="15"/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2024</v>
      </c>
      <c r="E5" s="9">
        <f>Submetering!E5+Submetering!F5+Submetering!G5</f>
        <v>14882</v>
      </c>
      <c r="F5" s="17">
        <v>0.2</v>
      </c>
      <c r="G5" s="9">
        <f>'Apr 2024'!T8</f>
        <v>33.782400000000003</v>
      </c>
      <c r="H5" s="18">
        <v>16.875</v>
      </c>
      <c r="I5" s="9">
        <f>Submetering!H5</f>
        <v>88</v>
      </c>
      <c r="J5" s="17">
        <v>7.84</v>
      </c>
      <c r="K5" s="19">
        <f>'Apr 2024'!X8</f>
        <v>5971.2450000000008</v>
      </c>
      <c r="L5" s="168">
        <v>0.34420000000000001</v>
      </c>
      <c r="M5" s="9">
        <f>Submetering!N5</f>
        <v>194.0085</v>
      </c>
      <c r="N5" s="2">
        <f>Submetering!O5</f>
        <v>293</v>
      </c>
      <c r="O5" s="15"/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2024</v>
      </c>
      <c r="E6" s="9">
        <f>Submetering!E6+Submetering!F6+Submetering!G6</f>
        <v>14448</v>
      </c>
      <c r="F6" s="17">
        <v>0.2</v>
      </c>
      <c r="G6" s="9">
        <f>'Apr 2024'!T9</f>
        <v>35.893800000000006</v>
      </c>
      <c r="H6" s="18">
        <v>16.875</v>
      </c>
      <c r="I6" s="9">
        <f>Submetering!H6</f>
        <v>106</v>
      </c>
      <c r="J6" s="17">
        <v>7.84</v>
      </c>
      <c r="K6" s="19">
        <f>'Apr 2024'!X9</f>
        <v>5971.2450000000008</v>
      </c>
      <c r="L6" s="168">
        <v>0.34420000000000001</v>
      </c>
      <c r="M6" s="9">
        <f>Submetering!N6</f>
        <v>189</v>
      </c>
      <c r="N6" s="2">
        <f>Submetering!O6</f>
        <v>320</v>
      </c>
      <c r="O6" s="15"/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2024</v>
      </c>
      <c r="E7" s="9">
        <f>Submetering!E7+Submetering!F7+Submetering!G7</f>
        <v>14678</v>
      </c>
      <c r="F7" s="17">
        <v>0.2</v>
      </c>
      <c r="G7" s="9">
        <f>'Apr 2024'!T10</f>
        <v>34.838100000000004</v>
      </c>
      <c r="H7" s="18">
        <v>16.875</v>
      </c>
      <c r="I7" s="9">
        <f>Submetering!H7</f>
        <v>81</v>
      </c>
      <c r="J7" s="17">
        <v>7.84</v>
      </c>
      <c r="K7" s="19">
        <f>'Apr 2024'!X10</f>
        <v>5686.9000000000005</v>
      </c>
      <c r="L7" s="168">
        <v>0.34420000000000001</v>
      </c>
      <c r="M7" s="9">
        <f>Submetering!N7</f>
        <v>147.01050000000001</v>
      </c>
      <c r="N7" s="2">
        <f>Submetering!O7</f>
        <v>241</v>
      </c>
      <c r="O7" s="15"/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2024</v>
      </c>
      <c r="E8" s="9">
        <f>Submetering!E8+Submetering!F8+Submetering!G8</f>
        <v>14593</v>
      </c>
      <c r="F8" s="17">
        <v>0.2</v>
      </c>
      <c r="G8" s="9">
        <f>'Apr 2024'!T11</f>
        <v>30.615300000000001</v>
      </c>
      <c r="H8" s="18">
        <v>16.875</v>
      </c>
      <c r="I8" s="9">
        <f>Submetering!H8</f>
        <v>82</v>
      </c>
      <c r="J8" s="17">
        <v>7.84</v>
      </c>
      <c r="K8" s="19">
        <f>'Apr 2024'!X11</f>
        <v>5686.9000000000005</v>
      </c>
      <c r="L8" s="168">
        <v>0.34420000000000001</v>
      </c>
      <c r="M8" s="9">
        <f>Submetering!N8</f>
        <v>162.00450000000001</v>
      </c>
      <c r="N8" s="2">
        <f>Submetering!O8</f>
        <v>281</v>
      </c>
      <c r="O8" s="15"/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2024</v>
      </c>
      <c r="E9" s="9">
        <f>Submetering!E9+Submetering!F9+Submetering!G9</f>
        <v>14282</v>
      </c>
      <c r="F9" s="17">
        <v>0.2</v>
      </c>
      <c r="G9" s="9">
        <f>'Apr 2024'!T12</f>
        <v>31.671000000000003</v>
      </c>
      <c r="H9" s="18">
        <v>16.875</v>
      </c>
      <c r="I9" s="9">
        <f>Submetering!H9</f>
        <v>52</v>
      </c>
      <c r="J9" s="17">
        <v>7.84</v>
      </c>
      <c r="K9" s="19">
        <f>'Apr 2024'!X12</f>
        <v>5686.9000000000005</v>
      </c>
      <c r="L9" s="168">
        <v>0.34420000000000001</v>
      </c>
      <c r="M9" s="9">
        <f>Submetering!N9</f>
        <v>164.99700000000001</v>
      </c>
      <c r="N9" s="2">
        <f>Submetering!O9</f>
        <v>298</v>
      </c>
      <c r="O9" s="15"/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2024</v>
      </c>
      <c r="E10" s="9">
        <f>Submetering!E10+Submetering!F10+Submetering!G10</f>
        <v>14857</v>
      </c>
      <c r="F10" s="17">
        <v>0.2</v>
      </c>
      <c r="G10" s="9">
        <f>'Apr 2024'!T13</f>
        <v>29.559600000000003</v>
      </c>
      <c r="H10" s="18">
        <v>16.875</v>
      </c>
      <c r="I10" s="9">
        <f>Submetering!H10</f>
        <v>75</v>
      </c>
      <c r="J10" s="17">
        <v>7.84</v>
      </c>
      <c r="K10" s="19">
        <f>'Apr 2024'!X13</f>
        <v>6255.59</v>
      </c>
      <c r="L10" s="168">
        <v>0.34420000000000001</v>
      </c>
      <c r="M10" s="9">
        <f>Submetering!N10</f>
        <v>176.99849999999998</v>
      </c>
      <c r="N10" s="2">
        <f>Submetering!O10</f>
        <v>323</v>
      </c>
      <c r="O10" s="15"/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2024</v>
      </c>
      <c r="E11" s="9">
        <f>Submetering!E11+Submetering!F11+Submetering!G11</f>
        <v>14513</v>
      </c>
      <c r="F11" s="17">
        <v>0.2</v>
      </c>
      <c r="G11" s="9">
        <f>'Apr 2024'!T14</f>
        <v>29.559600000000003</v>
      </c>
      <c r="H11" s="18">
        <v>16.875</v>
      </c>
      <c r="I11" s="9">
        <f>Submetering!H11</f>
        <v>93</v>
      </c>
      <c r="J11" s="17">
        <v>7.84</v>
      </c>
      <c r="K11" s="19">
        <f>'Apr 2024'!X14</f>
        <v>6824.2800000000007</v>
      </c>
      <c r="L11" s="168">
        <v>0.34420000000000001</v>
      </c>
      <c r="M11" s="9">
        <f>Submetering!N11</f>
        <v>210.01049999999998</v>
      </c>
      <c r="N11" s="2">
        <f>Submetering!O11</f>
        <v>372</v>
      </c>
      <c r="O11" s="15"/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2024</v>
      </c>
      <c r="E12" s="9">
        <f>Submetering!E12+Submetering!F12+Submetering!G12</f>
        <v>14921</v>
      </c>
      <c r="F12" s="17">
        <v>0.2</v>
      </c>
      <c r="G12" s="9">
        <f>'Apr 2024'!T15</f>
        <v>30.615300000000001</v>
      </c>
      <c r="H12" s="18">
        <v>16.875</v>
      </c>
      <c r="I12" s="9">
        <f>Submetering!H12</f>
        <v>102</v>
      </c>
      <c r="J12" s="17">
        <v>7.84</v>
      </c>
      <c r="K12" s="19">
        <f>'Apr 2024'!X15</f>
        <v>7108.6250000000009</v>
      </c>
      <c r="L12" s="168">
        <v>0.34420000000000001</v>
      </c>
      <c r="M12" s="9">
        <f>Submetering!N12</f>
        <v>273.98700000000002</v>
      </c>
      <c r="N12" s="2">
        <f>Submetering!O12</f>
        <v>480</v>
      </c>
      <c r="O12" s="15"/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2024</v>
      </c>
      <c r="E13" s="9">
        <f>Submetering!E13+Submetering!F13+Submetering!G13</f>
        <v>15025</v>
      </c>
      <c r="F13" s="17">
        <v>0.2</v>
      </c>
      <c r="G13" s="9">
        <f>'Apr 2024'!T16</f>
        <v>32.726700000000001</v>
      </c>
      <c r="H13" s="18">
        <v>16.875</v>
      </c>
      <c r="I13" s="9">
        <f>Submetering!H13</f>
        <v>113</v>
      </c>
      <c r="J13" s="17">
        <v>7.84</v>
      </c>
      <c r="K13" s="19">
        <f>'Apr 2024'!X16</f>
        <v>7392.9700000000012</v>
      </c>
      <c r="L13" s="168">
        <v>0.34420000000000001</v>
      </c>
      <c r="M13" s="9">
        <f>Submetering!N13</f>
        <v>230.98949999999999</v>
      </c>
      <c r="N13" s="2">
        <f>Submetering!O13</f>
        <v>403</v>
      </c>
      <c r="O13" s="15"/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2024</v>
      </c>
      <c r="E14" s="9">
        <f>Submetering!E14+Submetering!F14+Submetering!G14</f>
        <v>14392</v>
      </c>
      <c r="F14" s="17">
        <v>0.2</v>
      </c>
      <c r="G14" s="9">
        <f>'Apr 2024'!T17</f>
        <v>33.782400000000003</v>
      </c>
      <c r="H14" s="18">
        <v>16.875</v>
      </c>
      <c r="I14" s="9">
        <f>Submetering!H14</f>
        <v>102</v>
      </c>
      <c r="J14" s="17">
        <v>7.84</v>
      </c>
      <c r="K14" s="19">
        <f>'Apr 2024'!X17</f>
        <v>6255.59</v>
      </c>
      <c r="L14" s="168">
        <v>0.34420000000000001</v>
      </c>
      <c r="M14" s="9">
        <f>Submetering!N14</f>
        <v>135.9855</v>
      </c>
      <c r="N14" s="2">
        <f>Submetering!O14</f>
        <v>217</v>
      </c>
      <c r="O14" s="15"/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2024</v>
      </c>
      <c r="E15" s="9">
        <f>Submetering!E15+Submetering!F15+Submetering!G15</f>
        <v>14237</v>
      </c>
      <c r="F15" s="17">
        <v>0.2</v>
      </c>
      <c r="G15" s="9">
        <f>'Apr 2024'!T18</f>
        <v>26.392500000000002</v>
      </c>
      <c r="H15" s="18">
        <v>16.875</v>
      </c>
      <c r="I15" s="9">
        <f>Submetering!H15</f>
        <v>76</v>
      </c>
      <c r="J15" s="17">
        <v>7.84</v>
      </c>
      <c r="K15" s="19">
        <f>'Apr 2024'!X18</f>
        <v>6255.59</v>
      </c>
      <c r="L15" s="168">
        <v>0.34420000000000001</v>
      </c>
      <c r="M15" s="9">
        <f>Submetering!N15</f>
        <v>155.01149999999998</v>
      </c>
      <c r="N15" s="2">
        <f>Submetering!O15</f>
        <v>208</v>
      </c>
      <c r="O15" s="15"/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2024</v>
      </c>
      <c r="E16" s="9">
        <f>Submetering!E16+Submetering!F16+Submetering!G16</f>
        <v>14516</v>
      </c>
      <c r="F16" s="17">
        <v>0.2</v>
      </c>
      <c r="G16" s="9">
        <f>'Apr 2024'!T19</f>
        <v>33.782400000000003</v>
      </c>
      <c r="H16" s="18">
        <v>16.875</v>
      </c>
      <c r="I16" s="9">
        <f>Submetering!H16</f>
        <v>87</v>
      </c>
      <c r="J16" s="17">
        <v>7.84</v>
      </c>
      <c r="K16" s="19">
        <f>'Apr 2024'!X19</f>
        <v>6539.9350000000004</v>
      </c>
      <c r="L16" s="168">
        <v>0.34420000000000001</v>
      </c>
      <c r="M16" s="9">
        <f>Submetering!N16</f>
        <v>315</v>
      </c>
      <c r="N16" s="2">
        <f>Submetering!O16</f>
        <v>363</v>
      </c>
      <c r="O16" s="15"/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2024</v>
      </c>
      <c r="E17" s="9">
        <f>Submetering!E17+Submetering!F17+Submetering!G17</f>
        <v>14941</v>
      </c>
      <c r="F17" s="17">
        <v>0.2</v>
      </c>
      <c r="G17" s="9">
        <f>'Apr 2024'!T20</f>
        <v>35.893800000000006</v>
      </c>
      <c r="H17" s="18">
        <v>16.875</v>
      </c>
      <c r="I17" s="9">
        <f>Submetering!H17</f>
        <v>97</v>
      </c>
      <c r="J17" s="17">
        <v>7.84</v>
      </c>
      <c r="K17" s="19">
        <f>'Apr 2024'!X20</f>
        <v>6539.9350000000004</v>
      </c>
      <c r="L17" s="168">
        <v>0.34420000000000001</v>
      </c>
      <c r="M17" s="9">
        <f>Submetering!N17</f>
        <v>306.99900000000002</v>
      </c>
      <c r="N17" s="2">
        <f>Submetering!O17</f>
        <v>346</v>
      </c>
      <c r="O17" s="15"/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2024</v>
      </c>
      <c r="E18" s="9">
        <f>Submetering!E18+Submetering!F18+Submetering!G18</f>
        <v>14755</v>
      </c>
      <c r="F18" s="17">
        <v>0.2</v>
      </c>
      <c r="G18" s="9">
        <f>'Apr 2024'!T21</f>
        <v>35.893800000000006</v>
      </c>
      <c r="H18" s="18">
        <v>16.875</v>
      </c>
      <c r="I18" s="9">
        <f>Submetering!H18</f>
        <v>101</v>
      </c>
      <c r="J18" s="17">
        <v>7.84</v>
      </c>
      <c r="K18" s="19">
        <f>'Apr 2024'!X21</f>
        <v>5971.2450000000008</v>
      </c>
      <c r="L18" s="168">
        <v>0.34420000000000001</v>
      </c>
      <c r="M18" s="9">
        <f>Submetering!N18</f>
        <v>297.99</v>
      </c>
      <c r="N18" s="2">
        <f>Submetering!O18</f>
        <v>330</v>
      </c>
      <c r="O18" s="15"/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2024</v>
      </c>
      <c r="E19" s="9">
        <f>Submetering!E19+Submetering!F19+Submetering!G19</f>
        <v>14833</v>
      </c>
      <c r="F19" s="17">
        <v>0.2</v>
      </c>
      <c r="G19" s="9">
        <f>'Apr 2024'!T22</f>
        <v>32.726700000000001</v>
      </c>
      <c r="H19" s="18">
        <v>16.875</v>
      </c>
      <c r="I19" s="9">
        <f>Submetering!H19</f>
        <v>96</v>
      </c>
      <c r="J19" s="17">
        <v>7.84</v>
      </c>
      <c r="K19" s="19">
        <f>'Apr 2024'!X22</f>
        <v>5971.2450000000008</v>
      </c>
      <c r="L19" s="168">
        <v>0.34420000000000001</v>
      </c>
      <c r="M19" s="9">
        <f>Submetering!N19</f>
        <v>243.999</v>
      </c>
      <c r="N19" s="2">
        <f>Submetering!O19</f>
        <v>296</v>
      </c>
      <c r="O19" s="15"/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2024</v>
      </c>
      <c r="E20" s="9">
        <f>Submetering!E20+Submetering!F20+Submetering!G20</f>
        <v>14470</v>
      </c>
      <c r="F20" s="17">
        <v>0.2</v>
      </c>
      <c r="G20" s="9">
        <f>'Apr 2024'!T23</f>
        <v>30.615300000000001</v>
      </c>
      <c r="H20" s="18">
        <v>16.875</v>
      </c>
      <c r="I20" s="9">
        <f>Submetering!H20</f>
        <v>89</v>
      </c>
      <c r="J20" s="17">
        <v>7.84</v>
      </c>
      <c r="K20" s="19">
        <f>'Apr 2024'!X23</f>
        <v>6539.9350000000004</v>
      </c>
      <c r="L20" s="168">
        <v>0.34420000000000001</v>
      </c>
      <c r="M20" s="9">
        <f>Submetering!N20</f>
        <v>186.00750000000002</v>
      </c>
      <c r="N20" s="2">
        <f>Submetering!O20</f>
        <v>256</v>
      </c>
      <c r="O20" s="15"/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2024</v>
      </c>
      <c r="E21" s="9">
        <f>Submetering!E21+Submetering!F21+Submetering!G21</f>
        <v>14441</v>
      </c>
      <c r="F21" s="17">
        <v>0.2</v>
      </c>
      <c r="G21" s="9">
        <f>'Apr 2024'!T24</f>
        <v>34.838100000000004</v>
      </c>
      <c r="H21" s="18">
        <v>16.875</v>
      </c>
      <c r="I21" s="9">
        <f>Submetering!H21</f>
        <v>84</v>
      </c>
      <c r="J21" s="17">
        <v>7.84</v>
      </c>
      <c r="K21" s="19">
        <f>'Apr 2024'!X24</f>
        <v>7108.6250000000009</v>
      </c>
      <c r="L21" s="168">
        <v>0.34420000000000001</v>
      </c>
      <c r="M21" s="9">
        <f>Submetering!N21</f>
        <v>186.00750000000002</v>
      </c>
      <c r="N21" s="2">
        <f>Submetering!O21</f>
        <v>268</v>
      </c>
      <c r="O21" s="15"/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2024</v>
      </c>
      <c r="E22" s="9">
        <f>Submetering!E22+Submetering!F22+Submetering!G22</f>
        <v>14878</v>
      </c>
      <c r="F22" s="17">
        <v>0.2</v>
      </c>
      <c r="G22" s="9">
        <f>'Apr 2024'!T25</f>
        <v>30.615300000000001</v>
      </c>
      <c r="H22" s="18">
        <v>16.875</v>
      </c>
      <c r="I22" s="9">
        <f>Submetering!H22</f>
        <v>99</v>
      </c>
      <c r="J22" s="17">
        <v>7.84</v>
      </c>
      <c r="K22" s="19">
        <f>'Apr 2024'!X25</f>
        <v>6539.9350000000004</v>
      </c>
      <c r="L22" s="168">
        <v>0.34420000000000001</v>
      </c>
      <c r="M22" s="9">
        <f>Submetering!N22</f>
        <v>237.006</v>
      </c>
      <c r="N22" s="2">
        <f>Submetering!O22</f>
        <v>321</v>
      </c>
      <c r="O22" s="15"/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2024</v>
      </c>
      <c r="E23" s="9">
        <f>Submetering!E23+Submetering!F23+Submetering!G23</f>
        <v>14955</v>
      </c>
      <c r="F23" s="17">
        <v>0.2</v>
      </c>
      <c r="G23" s="9">
        <f>'Apr 2024'!T26</f>
        <v>34.838100000000004</v>
      </c>
      <c r="H23" s="18">
        <v>16.875</v>
      </c>
      <c r="I23" s="9">
        <f>Submetering!H23</f>
        <v>108</v>
      </c>
      <c r="J23" s="17">
        <v>7.84</v>
      </c>
      <c r="K23" s="19">
        <f>'Apr 2024'!X26</f>
        <v>7108.6250000000009</v>
      </c>
      <c r="L23" s="168">
        <v>0.34420000000000001</v>
      </c>
      <c r="M23" s="9">
        <f>Submetering!N23</f>
        <v>309.99149999999997</v>
      </c>
      <c r="N23" s="2">
        <f>Submetering!O23</f>
        <v>427</v>
      </c>
      <c r="O23" s="15"/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2024</v>
      </c>
      <c r="E24" s="9">
        <f>Submetering!E24+Submetering!F24+Submetering!G24</f>
        <v>15225</v>
      </c>
      <c r="F24" s="17">
        <v>0.2</v>
      </c>
      <c r="G24" s="9">
        <f>'Apr 2024'!T27</f>
        <v>32.726700000000001</v>
      </c>
      <c r="H24" s="18">
        <v>16.875</v>
      </c>
      <c r="I24" s="9">
        <f>Submetering!H24</f>
        <v>97</v>
      </c>
      <c r="J24" s="17">
        <v>7.84</v>
      </c>
      <c r="K24" s="19">
        <f>'Apr 2024'!X27</f>
        <v>7677.3150000000005</v>
      </c>
      <c r="L24" s="168">
        <v>0.34420000000000001</v>
      </c>
      <c r="M24" s="9">
        <f>Submetering!N24</f>
        <v>302.99849999999998</v>
      </c>
      <c r="N24" s="2">
        <f>Submetering!O24</f>
        <v>410</v>
      </c>
      <c r="O24" s="15"/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2024</v>
      </c>
      <c r="E25" s="9">
        <f>Submetering!E25+Submetering!F25+Submetering!G25</f>
        <v>15326</v>
      </c>
      <c r="F25" s="17">
        <v>0.2</v>
      </c>
      <c r="G25" s="9">
        <f>'Apr 2024'!T28</f>
        <v>28.503900000000002</v>
      </c>
      <c r="H25" s="18">
        <v>16.875</v>
      </c>
      <c r="I25" s="9">
        <f>Submetering!H25</f>
        <v>111</v>
      </c>
      <c r="J25" s="17">
        <v>7.84</v>
      </c>
      <c r="K25" s="19">
        <f>'Apr 2024'!X28</f>
        <v>7108.6250000000009</v>
      </c>
      <c r="L25" s="168">
        <v>0.34420000000000001</v>
      </c>
      <c r="M25" s="9">
        <f>Submetering!N25</f>
        <v>312.00749999999999</v>
      </c>
      <c r="N25" s="2">
        <f>Submetering!O25</f>
        <v>429</v>
      </c>
      <c r="O25" s="15"/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2024</v>
      </c>
      <c r="E26" s="9">
        <f>Submetering!E26+Submetering!F26+Submetering!G26</f>
        <v>15249</v>
      </c>
      <c r="F26" s="17">
        <v>0.2</v>
      </c>
      <c r="G26" s="9">
        <f>'Apr 2024'!T29</f>
        <v>32.726700000000001</v>
      </c>
      <c r="H26" s="18">
        <v>16.875</v>
      </c>
      <c r="I26" s="9">
        <f>Submetering!H26</f>
        <v>111</v>
      </c>
      <c r="J26" s="17">
        <v>7.84</v>
      </c>
      <c r="K26" s="19">
        <f>'Apr 2024'!X29</f>
        <v>7108.6250000000009</v>
      </c>
      <c r="L26" s="168">
        <v>0.34420000000000001</v>
      </c>
      <c r="M26" s="9">
        <f>Submetering!N26</f>
        <v>309.99149999999997</v>
      </c>
      <c r="N26" s="2">
        <f>Submetering!O26</f>
        <v>457</v>
      </c>
      <c r="O26" s="15"/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2024</v>
      </c>
      <c r="E27" s="9">
        <f>Submetering!E27+Submetering!F27+Submetering!G27</f>
        <v>15149</v>
      </c>
      <c r="F27" s="17">
        <v>0.2</v>
      </c>
      <c r="G27" s="9">
        <f>'Apr 2024'!T30</f>
        <v>34.838100000000004</v>
      </c>
      <c r="H27" s="18">
        <v>16.875</v>
      </c>
      <c r="I27" s="9">
        <f>Submetering!H27</f>
        <v>106</v>
      </c>
      <c r="J27" s="17">
        <v>7.84</v>
      </c>
      <c r="K27" s="19">
        <f>'Apr 2024'!X30</f>
        <v>7392.9700000000012</v>
      </c>
      <c r="L27" s="168">
        <v>0.34420000000000001</v>
      </c>
      <c r="M27" s="9">
        <f>Submetering!N27</f>
        <v>274.995</v>
      </c>
      <c r="N27" s="2">
        <f>Submetering!O27</f>
        <v>421</v>
      </c>
      <c r="O27" s="15"/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2024</v>
      </c>
      <c r="E28" s="9">
        <f>Submetering!E28+Submetering!F28+Submetering!G28</f>
        <v>14987</v>
      </c>
      <c r="F28" s="17">
        <v>0.2</v>
      </c>
      <c r="G28" s="9">
        <f>'Apr 2024'!T31</f>
        <v>34.838100000000004</v>
      </c>
      <c r="H28" s="18">
        <v>16.875</v>
      </c>
      <c r="I28" s="9">
        <f>Submetering!H28</f>
        <v>116</v>
      </c>
      <c r="J28" s="17">
        <v>7.84</v>
      </c>
      <c r="K28" s="19">
        <f>'Apr 2024'!X31</f>
        <v>7677.3150000000005</v>
      </c>
      <c r="L28" s="168">
        <v>0.34420000000000001</v>
      </c>
      <c r="M28" s="9">
        <f>Submetering!N28</f>
        <v>298.99799999999999</v>
      </c>
      <c r="N28" s="2">
        <f>Submetering!O28</f>
        <v>445</v>
      </c>
      <c r="O28" s="15"/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2024</v>
      </c>
      <c r="E29" s="9">
        <f>Submetering!E29+Submetering!F29+Submetering!G29</f>
        <v>14911</v>
      </c>
      <c r="F29" s="17">
        <v>0.2</v>
      </c>
      <c r="G29" s="9">
        <f>'Apr 2024'!T32</f>
        <v>33.782400000000003</v>
      </c>
      <c r="H29" s="18">
        <v>16.875</v>
      </c>
      <c r="I29" s="9">
        <f>Submetering!H29</f>
        <v>103</v>
      </c>
      <c r="J29" s="17">
        <v>7.84</v>
      </c>
      <c r="K29" s="19">
        <f>'Apr 2024'!X32</f>
        <v>7961.6600000000008</v>
      </c>
      <c r="L29" s="168">
        <v>0.34420000000000001</v>
      </c>
      <c r="M29" s="9">
        <f>Submetering!N29</f>
        <v>225.00450000000001</v>
      </c>
      <c r="N29" s="2">
        <f>Submetering!O29</f>
        <v>270</v>
      </c>
      <c r="O29" s="15"/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2024</v>
      </c>
      <c r="E30" s="9">
        <f>Submetering!E30+Submetering!F30+Submetering!G30</f>
        <v>14840</v>
      </c>
      <c r="F30" s="17">
        <v>0.2</v>
      </c>
      <c r="G30" s="9">
        <f>'Apr 2024'!T33</f>
        <v>33.782400000000003</v>
      </c>
      <c r="H30" s="18">
        <v>16.875</v>
      </c>
      <c r="I30" s="9">
        <f>Submetering!H30</f>
        <v>91</v>
      </c>
      <c r="J30" s="17">
        <v>7.84</v>
      </c>
      <c r="K30" s="19">
        <f>'Apr 2024'!X33</f>
        <v>7677.3150000000005</v>
      </c>
      <c r="L30" s="168">
        <v>0.34420000000000001</v>
      </c>
      <c r="M30" s="9">
        <f>Submetering!N30</f>
        <v>308.98349999999999</v>
      </c>
      <c r="N30" s="2">
        <f>Submetering!O30</f>
        <v>344</v>
      </c>
      <c r="O30" s="15"/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2024</v>
      </c>
      <c r="E31" s="9">
        <f>Submetering!E31+Submetering!F31+Submetering!G31</f>
        <v>15139</v>
      </c>
      <c r="F31" s="17">
        <v>0.2</v>
      </c>
      <c r="G31" s="9">
        <f>'Apr 2024'!T34</f>
        <v>34.838100000000004</v>
      </c>
      <c r="H31" s="18">
        <v>16.875</v>
      </c>
      <c r="I31" s="9">
        <f>Submetering!H31</f>
        <v>105</v>
      </c>
      <c r="J31" s="17">
        <v>7.84</v>
      </c>
      <c r="K31" s="19">
        <f>'Apr 2024'!X34</f>
        <v>8814.6950000000015</v>
      </c>
      <c r="L31" s="168">
        <v>0.34420000000000001</v>
      </c>
      <c r="M31" s="9">
        <f>Submetering!N31</f>
        <v>315</v>
      </c>
      <c r="N31" s="2">
        <f>Submetering!O31</f>
        <v>355</v>
      </c>
      <c r="O3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1"/>
  <sheetViews>
    <sheetView workbookViewId="0">
      <selection activeCell="R10" sqref="R1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67</v>
      </c>
      <c r="B1" s="15" t="s">
        <v>68</v>
      </c>
      <c r="C1" s="21" t="s">
        <v>69</v>
      </c>
      <c r="D1" s="15" t="s">
        <v>70</v>
      </c>
      <c r="E1" s="22" t="s">
        <v>78</v>
      </c>
      <c r="F1" s="23" t="s">
        <v>79</v>
      </c>
      <c r="G1" s="22" t="s">
        <v>80</v>
      </c>
      <c r="H1" s="22" t="s">
        <v>81</v>
      </c>
      <c r="I1" s="23" t="s">
        <v>82</v>
      </c>
      <c r="J1" s="23" t="s">
        <v>83</v>
      </c>
      <c r="K1" s="24" t="s">
        <v>2</v>
      </c>
      <c r="L1" s="24" t="s">
        <v>84</v>
      </c>
      <c r="M1" s="22" t="s">
        <v>85</v>
      </c>
      <c r="N1" s="24" t="s">
        <v>75</v>
      </c>
      <c r="O1" s="22" t="s">
        <v>76</v>
      </c>
    </row>
    <row r="2" spans="1:15" x14ac:dyDescent="0.25">
      <c r="A2" s="26" t="s">
        <v>77</v>
      </c>
      <c r="B2" s="2">
        <v>1</v>
      </c>
      <c r="C2" s="16">
        <v>4</v>
      </c>
      <c r="D2" s="2">
        <v>2025</v>
      </c>
      <c r="E2" s="9">
        <f>'Apr 2024'!C5</f>
        <v>7825</v>
      </c>
      <c r="F2" s="9">
        <f>'Apr 2024'!E5</f>
        <v>6969</v>
      </c>
      <c r="G2" s="9">
        <f>'Apr 2024'!G5</f>
        <v>134</v>
      </c>
      <c r="H2" s="9">
        <f>'Apr 2024'!K5</f>
        <v>86</v>
      </c>
      <c r="I2" s="9">
        <f>'Apr 2024'!N5</f>
        <v>17</v>
      </c>
      <c r="J2" s="9">
        <f>'Apr 2024'!P5</f>
        <v>13</v>
      </c>
      <c r="K2" s="9">
        <f>'Apr 2024'!X5</f>
        <v>5686.9000000000005</v>
      </c>
      <c r="L2" s="9">
        <f>'Apr 2024'!AC5</f>
        <v>6479</v>
      </c>
      <c r="M2" s="9">
        <f>'Apr 2024'!AP5</f>
        <v>9</v>
      </c>
      <c r="N2" s="9">
        <f>'Apr 2024'!AD5*315</f>
        <v>242.0145</v>
      </c>
      <c r="O2" s="139">
        <f>'Apr 2024'!AE5</f>
        <v>336</v>
      </c>
    </row>
    <row r="3" spans="1:15" x14ac:dyDescent="0.25">
      <c r="A3" s="26" t="s">
        <v>77</v>
      </c>
      <c r="B3" s="2">
        <f t="shared" ref="B3:B31" si="0">B2+1</f>
        <v>2</v>
      </c>
      <c r="C3" s="16">
        <v>4</v>
      </c>
      <c r="D3" s="2">
        <v>2025</v>
      </c>
      <c r="E3" s="9">
        <f>'Apr 2024'!C6</f>
        <v>7905</v>
      </c>
      <c r="F3" s="9">
        <f>'Apr 2024'!E6</f>
        <v>6910</v>
      </c>
      <c r="G3" s="9">
        <f>'Apr 2024'!G6</f>
        <v>135</v>
      </c>
      <c r="H3" s="9">
        <f>'Apr 2024'!K6</f>
        <v>100</v>
      </c>
      <c r="I3" s="9">
        <f>'Apr 2024'!N6</f>
        <v>18</v>
      </c>
      <c r="J3" s="9">
        <f>'Apr 2024'!P6</f>
        <v>18</v>
      </c>
      <c r="K3" s="9">
        <f>'Apr 2024'!X6</f>
        <v>5402.5550000000003</v>
      </c>
      <c r="L3" s="9">
        <f>'Apr 2024'!AC6</f>
        <v>6538</v>
      </c>
      <c r="M3" s="9">
        <f>'Apr 2024'!AP6</f>
        <v>9</v>
      </c>
      <c r="N3" s="9">
        <f>'Apr 2024'!AD6*315</f>
        <v>252</v>
      </c>
      <c r="O3" s="139">
        <f>'Apr 2024'!AE6</f>
        <v>360</v>
      </c>
    </row>
    <row r="4" spans="1:15" x14ac:dyDescent="0.25">
      <c r="A4" s="26" t="s">
        <v>77</v>
      </c>
      <c r="B4" s="2">
        <f t="shared" si="0"/>
        <v>3</v>
      </c>
      <c r="C4" s="16">
        <v>4</v>
      </c>
      <c r="D4" s="2">
        <v>2025</v>
      </c>
      <c r="E4" s="9">
        <f>'Apr 2024'!C7</f>
        <v>7884</v>
      </c>
      <c r="F4" s="9">
        <f>'Apr 2024'!E7</f>
        <v>6944</v>
      </c>
      <c r="G4" s="9">
        <f>'Apr 2024'!G7</f>
        <v>134</v>
      </c>
      <c r="H4" s="9">
        <f>'Apr 2024'!K7</f>
        <v>99</v>
      </c>
      <c r="I4" s="9">
        <f>'Apr 2024'!N7</f>
        <v>17</v>
      </c>
      <c r="J4" s="9">
        <f>'Apr 2024'!P7</f>
        <v>16</v>
      </c>
      <c r="K4" s="9">
        <f>'Apr 2024'!X7</f>
        <v>5686.9000000000005</v>
      </c>
      <c r="L4" s="9">
        <f>'Apr 2024'!AC7</f>
        <v>6789</v>
      </c>
      <c r="M4" s="9">
        <f>'Apr 2024'!AP7</f>
        <v>10</v>
      </c>
      <c r="N4" s="9">
        <f>'Apr 2024'!AD7*315</f>
        <v>235.99799999999999</v>
      </c>
      <c r="O4" s="139">
        <f>'Apr 2024'!AE7</f>
        <v>333</v>
      </c>
    </row>
    <row r="5" spans="1:15" x14ac:dyDescent="0.25">
      <c r="A5" s="26" t="s">
        <v>77</v>
      </c>
      <c r="B5" s="2">
        <f t="shared" si="0"/>
        <v>4</v>
      </c>
      <c r="C5" s="16">
        <v>4</v>
      </c>
      <c r="D5" s="2">
        <v>2025</v>
      </c>
      <c r="E5" s="9">
        <f>'Apr 2024'!C8</f>
        <v>7822</v>
      </c>
      <c r="F5" s="9">
        <f>'Apr 2024'!E8</f>
        <v>6924</v>
      </c>
      <c r="G5" s="9">
        <f>'Apr 2024'!G8</f>
        <v>136</v>
      </c>
      <c r="H5" s="9">
        <f>'Apr 2024'!K8</f>
        <v>88</v>
      </c>
      <c r="I5" s="9">
        <f>'Apr 2024'!N8</f>
        <v>17</v>
      </c>
      <c r="J5" s="9">
        <f>'Apr 2024'!P8</f>
        <v>15</v>
      </c>
      <c r="K5" s="9">
        <f>'Apr 2024'!X8</f>
        <v>5971.2450000000008</v>
      </c>
      <c r="L5" s="9">
        <f>'Apr 2024'!AC8</f>
        <v>6964</v>
      </c>
      <c r="M5" s="9">
        <f>'Apr 2024'!AP8</f>
        <v>9</v>
      </c>
      <c r="N5" s="9">
        <f>'Apr 2024'!AD8*315</f>
        <v>194.0085</v>
      </c>
      <c r="O5" s="139">
        <f>'Apr 2024'!AE8</f>
        <v>293</v>
      </c>
    </row>
    <row r="6" spans="1:15" x14ac:dyDescent="0.25">
      <c r="A6" s="26" t="s">
        <v>77</v>
      </c>
      <c r="B6" s="2">
        <f t="shared" si="0"/>
        <v>5</v>
      </c>
      <c r="C6" s="16">
        <v>4</v>
      </c>
      <c r="D6" s="2">
        <v>2025</v>
      </c>
      <c r="E6" s="9">
        <f>'Apr 2024'!C9</f>
        <v>7517</v>
      </c>
      <c r="F6" s="9">
        <f>'Apr 2024'!E9</f>
        <v>6795</v>
      </c>
      <c r="G6" s="9">
        <f>'Apr 2024'!G9</f>
        <v>136</v>
      </c>
      <c r="H6" s="9">
        <f>'Apr 2024'!K9</f>
        <v>106</v>
      </c>
      <c r="I6" s="9">
        <f>'Apr 2024'!N9</f>
        <v>19</v>
      </c>
      <c r="J6" s="9">
        <f>'Apr 2024'!P9</f>
        <v>16</v>
      </c>
      <c r="K6" s="9">
        <f>'Apr 2024'!X9</f>
        <v>5971.2450000000008</v>
      </c>
      <c r="L6" s="9">
        <f>'Apr 2024'!AC9</f>
        <v>6613</v>
      </c>
      <c r="M6" s="9">
        <f>'Apr 2024'!AP9</f>
        <v>9</v>
      </c>
      <c r="N6" s="9">
        <f>'Apr 2024'!AD9*315</f>
        <v>189</v>
      </c>
      <c r="O6" s="139">
        <f>'Apr 2024'!AE9</f>
        <v>320</v>
      </c>
    </row>
    <row r="7" spans="1:15" x14ac:dyDescent="0.25">
      <c r="A7" s="26" t="s">
        <v>77</v>
      </c>
      <c r="B7" s="2">
        <f t="shared" si="0"/>
        <v>6</v>
      </c>
      <c r="C7" s="16">
        <v>4</v>
      </c>
      <c r="D7" s="2">
        <v>2025</v>
      </c>
      <c r="E7" s="9">
        <f>'Apr 2024'!C10</f>
        <v>7644</v>
      </c>
      <c r="F7" s="9">
        <f>'Apr 2024'!E10</f>
        <v>6897</v>
      </c>
      <c r="G7" s="9">
        <f>'Apr 2024'!G10</f>
        <v>137</v>
      </c>
      <c r="H7" s="9">
        <f>'Apr 2024'!K10</f>
        <v>81</v>
      </c>
      <c r="I7" s="9">
        <f>'Apr 2024'!N10</f>
        <v>18</v>
      </c>
      <c r="J7" s="9">
        <f>'Apr 2024'!P10</f>
        <v>15</v>
      </c>
      <c r="K7" s="9">
        <f>'Apr 2024'!X10</f>
        <v>5686.9000000000005</v>
      </c>
      <c r="L7" s="9">
        <f>'Apr 2024'!AC10</f>
        <v>6620</v>
      </c>
      <c r="M7" s="9">
        <f>'Apr 2024'!AP10</f>
        <v>8</v>
      </c>
      <c r="N7" s="9">
        <f>'Apr 2024'!AD10*315</f>
        <v>147.01050000000001</v>
      </c>
      <c r="O7" s="139">
        <f>'Apr 2024'!AE10</f>
        <v>241</v>
      </c>
    </row>
    <row r="8" spans="1:15" x14ac:dyDescent="0.25">
      <c r="A8" s="26" t="s">
        <v>77</v>
      </c>
      <c r="B8" s="2">
        <f t="shared" si="0"/>
        <v>7</v>
      </c>
      <c r="C8" s="16">
        <v>4</v>
      </c>
      <c r="D8" s="2">
        <v>2025</v>
      </c>
      <c r="E8" s="9">
        <f>'Apr 2024'!C11</f>
        <v>7647</v>
      </c>
      <c r="F8" s="9">
        <f>'Apr 2024'!E11</f>
        <v>6809</v>
      </c>
      <c r="G8" s="9">
        <f>'Apr 2024'!G11</f>
        <v>137</v>
      </c>
      <c r="H8" s="9">
        <f>'Apr 2024'!K11</f>
        <v>82</v>
      </c>
      <c r="I8" s="9">
        <f>'Apr 2024'!N11</f>
        <v>16</v>
      </c>
      <c r="J8" s="9">
        <f>'Apr 2024'!P11</f>
        <v>15</v>
      </c>
      <c r="K8" s="9">
        <f>'Apr 2024'!X11</f>
        <v>5686.9000000000005</v>
      </c>
      <c r="L8" s="9">
        <f>'Apr 2024'!AC11</f>
        <v>6551</v>
      </c>
      <c r="M8" s="9">
        <f>'Apr 2024'!AP11</f>
        <v>9</v>
      </c>
      <c r="N8" s="9">
        <f>'Apr 2024'!AD11*315</f>
        <v>162.00450000000001</v>
      </c>
      <c r="O8" s="139">
        <f>'Apr 2024'!AE11</f>
        <v>281</v>
      </c>
    </row>
    <row r="9" spans="1:15" x14ac:dyDescent="0.25">
      <c r="A9" s="26" t="s">
        <v>77</v>
      </c>
      <c r="B9" s="2">
        <f t="shared" si="0"/>
        <v>8</v>
      </c>
      <c r="C9" s="16">
        <v>4</v>
      </c>
      <c r="D9" s="2">
        <v>2025</v>
      </c>
      <c r="E9" s="9">
        <f>'Apr 2024'!C12</f>
        <v>7514</v>
      </c>
      <c r="F9" s="9">
        <f>'Apr 2024'!E12</f>
        <v>6632</v>
      </c>
      <c r="G9" s="9">
        <f>'Apr 2024'!G12</f>
        <v>136</v>
      </c>
      <c r="H9" s="9">
        <f>'Apr 2024'!K12</f>
        <v>52</v>
      </c>
      <c r="I9" s="9">
        <f>'Apr 2024'!N12</f>
        <v>18</v>
      </c>
      <c r="J9" s="9">
        <f>'Apr 2024'!P12</f>
        <v>13</v>
      </c>
      <c r="K9" s="9">
        <f>'Apr 2024'!X12</f>
        <v>5686.9000000000005</v>
      </c>
      <c r="L9" s="9">
        <f>'Apr 2024'!AC12</f>
        <v>6842</v>
      </c>
      <c r="M9" s="9">
        <f>'Apr 2024'!AP12</f>
        <v>8</v>
      </c>
      <c r="N9" s="9">
        <f>'Apr 2024'!AD12*315</f>
        <v>164.99700000000001</v>
      </c>
      <c r="O9" s="139">
        <f>'Apr 2024'!AE12</f>
        <v>298</v>
      </c>
    </row>
    <row r="10" spans="1:15" x14ac:dyDescent="0.25">
      <c r="A10" s="26" t="s">
        <v>77</v>
      </c>
      <c r="B10" s="2">
        <f t="shared" si="0"/>
        <v>9</v>
      </c>
      <c r="C10" s="16">
        <v>4</v>
      </c>
      <c r="D10" s="2">
        <v>2025</v>
      </c>
      <c r="E10" s="9">
        <f>'Apr 2024'!C13</f>
        <v>7880</v>
      </c>
      <c r="F10" s="9">
        <f>'Apr 2024'!E13</f>
        <v>6841</v>
      </c>
      <c r="G10" s="9">
        <f>'Apr 2024'!G13</f>
        <v>136</v>
      </c>
      <c r="H10" s="9">
        <f>'Apr 2024'!K13</f>
        <v>75</v>
      </c>
      <c r="I10" s="9">
        <f>'Apr 2024'!N13</f>
        <v>16</v>
      </c>
      <c r="J10" s="9">
        <f>'Apr 2024'!P13</f>
        <v>13</v>
      </c>
      <c r="K10" s="9">
        <f>'Apr 2024'!X13</f>
        <v>6255.59</v>
      </c>
      <c r="L10" s="9">
        <f>'Apr 2024'!AC13</f>
        <v>7118</v>
      </c>
      <c r="M10" s="9">
        <f>'Apr 2024'!AP13</f>
        <v>10</v>
      </c>
      <c r="N10" s="9">
        <f>'Apr 2024'!AD13*315</f>
        <v>176.99849999999998</v>
      </c>
      <c r="O10" s="139">
        <f>'Apr 2024'!AE13</f>
        <v>323</v>
      </c>
    </row>
    <row r="11" spans="1:15" x14ac:dyDescent="0.25">
      <c r="A11" s="26" t="s">
        <v>77</v>
      </c>
      <c r="B11" s="2">
        <f t="shared" si="0"/>
        <v>10</v>
      </c>
      <c r="C11" s="16">
        <v>4</v>
      </c>
      <c r="D11" s="2">
        <v>2025</v>
      </c>
      <c r="E11" s="9">
        <f>'Apr 2024'!C14</f>
        <v>7653</v>
      </c>
      <c r="F11" s="9">
        <f>'Apr 2024'!E14</f>
        <v>6722</v>
      </c>
      <c r="G11" s="9">
        <f>'Apr 2024'!G14</f>
        <v>138</v>
      </c>
      <c r="H11" s="9">
        <f>'Apr 2024'!K14</f>
        <v>93</v>
      </c>
      <c r="I11" s="9">
        <f>'Apr 2024'!N14</f>
        <v>17</v>
      </c>
      <c r="J11" s="9">
        <f>'Apr 2024'!P14</f>
        <v>12</v>
      </c>
      <c r="K11" s="9">
        <f>'Apr 2024'!X14</f>
        <v>6824.2800000000007</v>
      </c>
      <c r="L11" s="9">
        <f>'Apr 2024'!AC14</f>
        <v>7431</v>
      </c>
      <c r="M11" s="9">
        <f>'Apr 2024'!AP14</f>
        <v>8</v>
      </c>
      <c r="N11" s="9">
        <f>'Apr 2024'!AD14*315</f>
        <v>210.01049999999998</v>
      </c>
      <c r="O11" s="139">
        <f>'Apr 2024'!AE14</f>
        <v>372</v>
      </c>
    </row>
    <row r="12" spans="1:15" x14ac:dyDescent="0.25">
      <c r="A12" s="26" t="s">
        <v>77</v>
      </c>
      <c r="B12" s="2">
        <f t="shared" si="0"/>
        <v>11</v>
      </c>
      <c r="C12" s="16">
        <v>4</v>
      </c>
      <c r="D12" s="2">
        <v>2025</v>
      </c>
      <c r="E12" s="9">
        <f>'Apr 2024'!C15</f>
        <v>7943</v>
      </c>
      <c r="F12" s="9">
        <f>'Apr 2024'!E15</f>
        <v>6869</v>
      </c>
      <c r="G12" s="9">
        <f>'Apr 2024'!G15</f>
        <v>109</v>
      </c>
      <c r="H12" s="9">
        <f>'Apr 2024'!K15</f>
        <v>102</v>
      </c>
      <c r="I12" s="9">
        <f>'Apr 2024'!N15</f>
        <v>17</v>
      </c>
      <c r="J12" s="9">
        <f>'Apr 2024'!P15</f>
        <v>11</v>
      </c>
      <c r="K12" s="9">
        <f>'Apr 2024'!X15</f>
        <v>7108.6250000000009</v>
      </c>
      <c r="L12" s="9">
        <f>'Apr 2024'!AC15</f>
        <v>8322</v>
      </c>
      <c r="M12" s="9">
        <f>'Apr 2024'!AP15</f>
        <v>7</v>
      </c>
      <c r="N12" s="9">
        <f>'Apr 2024'!AD15*315</f>
        <v>273.98700000000002</v>
      </c>
      <c r="O12" s="139">
        <f>'Apr 2024'!AE15</f>
        <v>480</v>
      </c>
    </row>
    <row r="13" spans="1:15" x14ac:dyDescent="0.25">
      <c r="A13" s="26" t="s">
        <v>77</v>
      </c>
      <c r="B13" s="2">
        <f t="shared" si="0"/>
        <v>12</v>
      </c>
      <c r="C13" s="16">
        <v>4</v>
      </c>
      <c r="D13" s="2">
        <v>2025</v>
      </c>
      <c r="E13" s="9">
        <f>'Apr 2024'!C16</f>
        <v>7962</v>
      </c>
      <c r="F13" s="9">
        <f>'Apr 2024'!E16</f>
        <v>6927</v>
      </c>
      <c r="G13" s="9">
        <f>'Apr 2024'!G16</f>
        <v>136</v>
      </c>
      <c r="H13" s="9">
        <f>'Apr 2024'!K16</f>
        <v>113</v>
      </c>
      <c r="I13" s="9">
        <f>'Apr 2024'!N16</f>
        <v>18</v>
      </c>
      <c r="J13" s="9">
        <f>'Apr 2024'!P16</f>
        <v>14</v>
      </c>
      <c r="K13" s="9">
        <f>'Apr 2024'!X16</f>
        <v>7392.9700000000012</v>
      </c>
      <c r="L13" s="9">
        <f>'Apr 2024'!AC16</f>
        <v>8448</v>
      </c>
      <c r="M13" s="9">
        <f>'Apr 2024'!AP16</f>
        <v>9</v>
      </c>
      <c r="N13" s="9">
        <f>'Apr 2024'!AD16*315</f>
        <v>230.98949999999999</v>
      </c>
      <c r="O13" s="139">
        <f>'Apr 2024'!AE16</f>
        <v>403</v>
      </c>
    </row>
    <row r="14" spans="1:15" x14ac:dyDescent="0.25">
      <c r="A14" s="26" t="s">
        <v>77</v>
      </c>
      <c r="B14" s="2">
        <f t="shared" si="0"/>
        <v>13</v>
      </c>
      <c r="C14" s="16">
        <v>4</v>
      </c>
      <c r="D14" s="2">
        <v>2025</v>
      </c>
      <c r="E14" s="9">
        <f>'Apr 2024'!C17</f>
        <v>7581</v>
      </c>
      <c r="F14" s="9">
        <f>'Apr 2024'!E17</f>
        <v>6700</v>
      </c>
      <c r="G14" s="9">
        <f>'Apr 2024'!G17</f>
        <v>111</v>
      </c>
      <c r="H14" s="9">
        <f>'Apr 2024'!K17</f>
        <v>102</v>
      </c>
      <c r="I14" s="9">
        <f>'Apr 2024'!N17</f>
        <v>19</v>
      </c>
      <c r="J14" s="9">
        <f>'Apr 2024'!P17</f>
        <v>12</v>
      </c>
      <c r="K14" s="9">
        <f>'Apr 2024'!X17</f>
        <v>6255.59</v>
      </c>
      <c r="L14" s="9">
        <f>'Apr 2024'!AC17</f>
        <v>7369</v>
      </c>
      <c r="M14" s="9">
        <f>'Apr 2024'!AP17</f>
        <v>9</v>
      </c>
      <c r="N14" s="9">
        <f>'Apr 2024'!AD17*315</f>
        <v>135.9855</v>
      </c>
      <c r="O14" s="139">
        <f>'Apr 2024'!AE17</f>
        <v>217</v>
      </c>
    </row>
    <row r="15" spans="1:15" x14ac:dyDescent="0.25">
      <c r="A15" s="26" t="s">
        <v>77</v>
      </c>
      <c r="B15" s="2">
        <f t="shared" si="0"/>
        <v>14</v>
      </c>
      <c r="C15" s="16">
        <v>4</v>
      </c>
      <c r="D15" s="2">
        <v>2025</v>
      </c>
      <c r="E15" s="9">
        <f>'Apr 2024'!C18</f>
        <v>7630</v>
      </c>
      <c r="F15" s="9">
        <f>'Apr 2024'!E18</f>
        <v>6451</v>
      </c>
      <c r="G15" s="9">
        <f>'Apr 2024'!G18</f>
        <v>156</v>
      </c>
      <c r="H15" s="9">
        <f>'Apr 2024'!K18</f>
        <v>76</v>
      </c>
      <c r="I15" s="9">
        <f>'Apr 2024'!N18</f>
        <v>16</v>
      </c>
      <c r="J15" s="9">
        <f>'Apr 2024'!P18</f>
        <v>12</v>
      </c>
      <c r="K15" s="9">
        <f>'Apr 2024'!X18</f>
        <v>6255.59</v>
      </c>
      <c r="L15" s="9">
        <f>'Apr 2024'!AC18</f>
        <v>7040</v>
      </c>
      <c r="M15" s="9">
        <f>'Apr 2024'!AP18</f>
        <v>7</v>
      </c>
      <c r="N15" s="9">
        <f>'Apr 2024'!AD18*315</f>
        <v>155.01149999999998</v>
      </c>
      <c r="O15" s="139">
        <f>'Apr 2024'!AE18</f>
        <v>208</v>
      </c>
    </row>
    <row r="16" spans="1:15" x14ac:dyDescent="0.25">
      <c r="A16" s="26" t="s">
        <v>77</v>
      </c>
      <c r="B16" s="2">
        <f t="shared" si="0"/>
        <v>15</v>
      </c>
      <c r="C16" s="16">
        <v>4</v>
      </c>
      <c r="D16" s="2">
        <v>2025</v>
      </c>
      <c r="E16" s="9">
        <f>'Apr 2024'!C19</f>
        <v>7651</v>
      </c>
      <c r="F16" s="9">
        <f>'Apr 2024'!E19</f>
        <v>6653</v>
      </c>
      <c r="G16" s="9">
        <f>'Apr 2024'!G19</f>
        <v>212</v>
      </c>
      <c r="H16" s="9">
        <f>'Apr 2024'!K19</f>
        <v>87</v>
      </c>
      <c r="I16" s="9">
        <f>'Apr 2024'!N19</f>
        <v>19</v>
      </c>
      <c r="J16" s="9">
        <f>'Apr 2024'!P19</f>
        <v>13</v>
      </c>
      <c r="K16" s="9">
        <f>'Apr 2024'!X19</f>
        <v>6539.9350000000004</v>
      </c>
      <c r="L16" s="9">
        <f>'Apr 2024'!AC19</f>
        <v>7824</v>
      </c>
      <c r="M16" s="9">
        <f>'Apr 2024'!AP19</f>
        <v>10</v>
      </c>
      <c r="N16" s="9">
        <f>'Apr 2024'!AD19*315</f>
        <v>315</v>
      </c>
      <c r="O16" s="139">
        <f>'Apr 2024'!AE19</f>
        <v>363</v>
      </c>
    </row>
    <row r="17" spans="1:15" x14ac:dyDescent="0.25">
      <c r="A17" s="26" t="s">
        <v>77</v>
      </c>
      <c r="B17" s="2">
        <f t="shared" si="0"/>
        <v>16</v>
      </c>
      <c r="C17" s="16">
        <v>4</v>
      </c>
      <c r="D17" s="2">
        <v>2025</v>
      </c>
      <c r="E17" s="9">
        <f>'Apr 2024'!C20</f>
        <v>7930</v>
      </c>
      <c r="F17" s="9">
        <f>'Apr 2024'!E20</f>
        <v>6959</v>
      </c>
      <c r="G17" s="9">
        <f>'Apr 2024'!G20</f>
        <v>52</v>
      </c>
      <c r="H17" s="9">
        <f>'Apr 2024'!K20</f>
        <v>97</v>
      </c>
      <c r="I17" s="9">
        <f>'Apr 2024'!N20</f>
        <v>20</v>
      </c>
      <c r="J17" s="9">
        <f>'Apr 2024'!P20</f>
        <v>16</v>
      </c>
      <c r="K17" s="9">
        <f>'Apr 2024'!X20</f>
        <v>6539.9350000000004</v>
      </c>
      <c r="L17" s="9">
        <f>'Apr 2024'!AC20</f>
        <v>7675</v>
      </c>
      <c r="M17" s="9">
        <f>'Apr 2024'!AP20</f>
        <v>9</v>
      </c>
      <c r="N17" s="9">
        <f>'Apr 2024'!AD20*315</f>
        <v>306.99900000000002</v>
      </c>
      <c r="O17" s="139">
        <f>'Apr 2024'!AE20</f>
        <v>346</v>
      </c>
    </row>
    <row r="18" spans="1:15" x14ac:dyDescent="0.25">
      <c r="A18" s="26" t="s">
        <v>77</v>
      </c>
      <c r="B18" s="2">
        <f t="shared" si="0"/>
        <v>17</v>
      </c>
      <c r="C18" s="16">
        <v>4</v>
      </c>
      <c r="D18" s="2">
        <v>2025</v>
      </c>
      <c r="E18" s="9">
        <f>'Apr 2024'!C21</f>
        <v>7701</v>
      </c>
      <c r="F18" s="9">
        <f>'Apr 2024'!E21</f>
        <v>6947</v>
      </c>
      <c r="G18" s="9">
        <f>'Apr 2024'!G21</f>
        <v>107</v>
      </c>
      <c r="H18" s="9">
        <f>'Apr 2024'!K21</f>
        <v>101</v>
      </c>
      <c r="I18" s="9">
        <f>'Apr 2024'!N21</f>
        <v>19</v>
      </c>
      <c r="J18" s="9">
        <f>'Apr 2024'!P21</f>
        <v>16</v>
      </c>
      <c r="K18" s="9">
        <f>'Apr 2024'!X21</f>
        <v>5971.2450000000008</v>
      </c>
      <c r="L18" s="9">
        <f>'Apr 2024'!AC21</f>
        <v>7147</v>
      </c>
      <c r="M18" s="9">
        <f>'Apr 2024'!AP21</f>
        <v>10</v>
      </c>
      <c r="N18" s="9">
        <f>'Apr 2024'!AD21*315</f>
        <v>297.99</v>
      </c>
      <c r="O18" s="139">
        <f>'Apr 2024'!AE21</f>
        <v>330</v>
      </c>
    </row>
    <row r="19" spans="1:15" x14ac:dyDescent="0.25">
      <c r="A19" s="26" t="s">
        <v>77</v>
      </c>
      <c r="B19" s="2">
        <f t="shared" si="0"/>
        <v>18</v>
      </c>
      <c r="C19" s="16">
        <v>4</v>
      </c>
      <c r="D19" s="2">
        <v>2025</v>
      </c>
      <c r="E19" s="9">
        <f>'Apr 2024'!C22</f>
        <v>7726</v>
      </c>
      <c r="F19" s="9">
        <f>'Apr 2024'!E22</f>
        <v>6972</v>
      </c>
      <c r="G19" s="9">
        <f>'Apr 2024'!G22</f>
        <v>135</v>
      </c>
      <c r="H19" s="9">
        <f>'Apr 2024'!K22</f>
        <v>96</v>
      </c>
      <c r="I19" s="9">
        <f>'Apr 2024'!N22</f>
        <v>18</v>
      </c>
      <c r="J19" s="9">
        <f>'Apr 2024'!P22</f>
        <v>14</v>
      </c>
      <c r="K19" s="9">
        <f>'Apr 2024'!X22</f>
        <v>5971.2450000000008</v>
      </c>
      <c r="L19" s="9">
        <f>'Apr 2024'!AC22</f>
        <v>7344</v>
      </c>
      <c r="M19" s="9">
        <f>'Apr 2024'!AP22</f>
        <v>10</v>
      </c>
      <c r="N19" s="9">
        <f>'Apr 2024'!AD22*315</f>
        <v>243.999</v>
      </c>
      <c r="O19" s="139">
        <f>'Apr 2024'!AE22</f>
        <v>296</v>
      </c>
    </row>
    <row r="20" spans="1:15" x14ac:dyDescent="0.25">
      <c r="A20" s="26" t="s">
        <v>77</v>
      </c>
      <c r="B20" s="2">
        <f t="shared" si="0"/>
        <v>19</v>
      </c>
      <c r="C20" s="16">
        <v>4</v>
      </c>
      <c r="D20" s="2">
        <v>2025</v>
      </c>
      <c r="E20" s="9">
        <f>'Apr 2024'!C23</f>
        <v>7618</v>
      </c>
      <c r="F20" s="9">
        <f>'Apr 2024'!E23</f>
        <v>6721</v>
      </c>
      <c r="G20" s="9">
        <f>'Apr 2024'!G23</f>
        <v>131</v>
      </c>
      <c r="H20" s="9">
        <f>'Apr 2024'!K23</f>
        <v>89</v>
      </c>
      <c r="I20" s="9">
        <f>'Apr 2024'!N23</f>
        <v>18</v>
      </c>
      <c r="J20" s="9">
        <f>'Apr 2024'!P23</f>
        <v>12</v>
      </c>
      <c r="K20" s="9">
        <f>'Apr 2024'!X23</f>
        <v>6539.9350000000004</v>
      </c>
      <c r="L20" s="9">
        <f>'Apr 2024'!AC23</f>
        <v>7852</v>
      </c>
      <c r="M20" s="9">
        <f>'Apr 2024'!AP23</f>
        <v>7</v>
      </c>
      <c r="N20" s="9">
        <f>'Apr 2024'!AD23*315</f>
        <v>186.00750000000002</v>
      </c>
      <c r="O20" s="139">
        <f>'Apr 2024'!AE23</f>
        <v>256</v>
      </c>
    </row>
    <row r="21" spans="1:15" x14ac:dyDescent="0.25">
      <c r="A21" s="26" t="s">
        <v>77</v>
      </c>
      <c r="B21" s="2">
        <f t="shared" si="0"/>
        <v>20</v>
      </c>
      <c r="C21" s="16">
        <v>4</v>
      </c>
      <c r="D21" s="2">
        <v>2025</v>
      </c>
      <c r="E21" s="9">
        <f>'Apr 2024'!C24</f>
        <v>7665</v>
      </c>
      <c r="F21" s="9">
        <f>'Apr 2024'!E24</f>
        <v>6645</v>
      </c>
      <c r="G21" s="9">
        <f>'Apr 2024'!G24</f>
        <v>131</v>
      </c>
      <c r="H21" s="9">
        <f>'Apr 2024'!K24</f>
        <v>84</v>
      </c>
      <c r="I21" s="9">
        <f>'Apr 2024'!N24</f>
        <v>18</v>
      </c>
      <c r="J21" s="9">
        <f>'Apr 2024'!P24</f>
        <v>15</v>
      </c>
      <c r="K21" s="9">
        <f>'Apr 2024'!X24</f>
        <v>7108.6250000000009</v>
      </c>
      <c r="L21" s="9">
        <f>'Apr 2024'!AC24</f>
        <v>7596</v>
      </c>
      <c r="M21" s="9">
        <f>'Apr 2024'!AP24</f>
        <v>9</v>
      </c>
      <c r="N21" s="9">
        <f>'Apr 2024'!AD24*315</f>
        <v>186.00750000000002</v>
      </c>
      <c r="O21" s="139">
        <f>'Apr 2024'!AE24</f>
        <v>268</v>
      </c>
    </row>
    <row r="22" spans="1:15" x14ac:dyDescent="0.25">
      <c r="A22" s="26" t="s">
        <v>77</v>
      </c>
      <c r="B22" s="2">
        <f t="shared" si="0"/>
        <v>21</v>
      </c>
      <c r="C22" s="16">
        <v>4</v>
      </c>
      <c r="D22" s="2">
        <v>2025</v>
      </c>
      <c r="E22" s="9">
        <f>'Apr 2024'!C25</f>
        <v>8059</v>
      </c>
      <c r="F22" s="9">
        <f>'Apr 2024'!E25</f>
        <v>6686</v>
      </c>
      <c r="G22" s="9">
        <f>'Apr 2024'!G25</f>
        <v>133</v>
      </c>
      <c r="H22" s="9">
        <f>'Apr 2024'!K25</f>
        <v>99</v>
      </c>
      <c r="I22" s="9">
        <f>'Apr 2024'!N25</f>
        <v>18</v>
      </c>
      <c r="J22" s="9">
        <f>'Apr 2024'!P25</f>
        <v>11</v>
      </c>
      <c r="K22" s="9">
        <f>'Apr 2024'!X25</f>
        <v>6539.9350000000004</v>
      </c>
      <c r="L22" s="9">
        <f>'Apr 2024'!AC25</f>
        <v>8132</v>
      </c>
      <c r="M22" s="9">
        <f>'Apr 2024'!AP25</f>
        <v>9</v>
      </c>
      <c r="N22" s="9">
        <f>'Apr 2024'!AD25*315</f>
        <v>237.006</v>
      </c>
      <c r="O22" s="139">
        <f>'Apr 2024'!AE25</f>
        <v>321</v>
      </c>
    </row>
    <row r="23" spans="1:15" x14ac:dyDescent="0.25">
      <c r="A23" s="26" t="s">
        <v>77</v>
      </c>
      <c r="B23" s="2">
        <f t="shared" si="0"/>
        <v>22</v>
      </c>
      <c r="C23" s="16">
        <v>4</v>
      </c>
      <c r="D23" s="2">
        <v>2025</v>
      </c>
      <c r="E23" s="9">
        <f>'Apr 2024'!C26</f>
        <v>8154</v>
      </c>
      <c r="F23" s="9">
        <f>'Apr 2024'!E26</f>
        <v>6666</v>
      </c>
      <c r="G23" s="9">
        <f>'Apr 2024'!G26</f>
        <v>135</v>
      </c>
      <c r="H23" s="9">
        <f>'Apr 2024'!K26</f>
        <v>108</v>
      </c>
      <c r="I23" s="9">
        <f>'Apr 2024'!N26</f>
        <v>19</v>
      </c>
      <c r="J23" s="9">
        <f>'Apr 2024'!P26</f>
        <v>17</v>
      </c>
      <c r="K23" s="9">
        <f>'Apr 2024'!X26</f>
        <v>7108.6250000000009</v>
      </c>
      <c r="L23" s="9">
        <f>'Apr 2024'!AC26</f>
        <v>8737</v>
      </c>
      <c r="M23" s="9">
        <f>'Apr 2024'!AP26</f>
        <v>9</v>
      </c>
      <c r="N23" s="9">
        <f>'Apr 2024'!AD26*315</f>
        <v>309.99149999999997</v>
      </c>
      <c r="O23" s="139">
        <f>'Apr 2024'!AE26</f>
        <v>427</v>
      </c>
    </row>
    <row r="24" spans="1:15" x14ac:dyDescent="0.25">
      <c r="A24" s="26" t="s">
        <v>77</v>
      </c>
      <c r="B24" s="2">
        <f t="shared" si="0"/>
        <v>23</v>
      </c>
      <c r="C24" s="16">
        <v>4</v>
      </c>
      <c r="D24" s="2">
        <v>2025</v>
      </c>
      <c r="E24" s="9">
        <f>'Apr 2024'!C27</f>
        <v>8137</v>
      </c>
      <c r="F24" s="9">
        <f>'Apr 2024'!E27</f>
        <v>6952</v>
      </c>
      <c r="G24" s="9">
        <f>'Apr 2024'!G27</f>
        <v>136</v>
      </c>
      <c r="H24" s="9">
        <f>'Apr 2024'!K27</f>
        <v>97</v>
      </c>
      <c r="I24" s="9">
        <f>'Apr 2024'!N27</f>
        <v>17</v>
      </c>
      <c r="J24" s="9">
        <f>'Apr 2024'!P27</f>
        <v>13</v>
      </c>
      <c r="K24" s="9">
        <f>'Apr 2024'!X27</f>
        <v>7677.3150000000005</v>
      </c>
      <c r="L24" s="9">
        <f>'Apr 2024'!AC27</f>
        <v>9128</v>
      </c>
      <c r="M24" s="9">
        <f>'Apr 2024'!AP27</f>
        <v>11</v>
      </c>
      <c r="N24" s="9">
        <f>'Apr 2024'!AD27*315</f>
        <v>302.99849999999998</v>
      </c>
      <c r="O24" s="139">
        <f>'Apr 2024'!AE27</f>
        <v>410</v>
      </c>
    </row>
    <row r="25" spans="1:15" x14ac:dyDescent="0.25">
      <c r="A25" s="26" t="s">
        <v>77</v>
      </c>
      <c r="B25" s="2">
        <f t="shared" si="0"/>
        <v>24</v>
      </c>
      <c r="C25" s="16">
        <v>4</v>
      </c>
      <c r="D25" s="2">
        <v>2025</v>
      </c>
      <c r="E25" s="9">
        <f>'Apr 2024'!C28</f>
        <v>8200</v>
      </c>
      <c r="F25" s="9">
        <f>'Apr 2024'!E28</f>
        <v>7002</v>
      </c>
      <c r="G25" s="9">
        <f>'Apr 2024'!G28</f>
        <v>124</v>
      </c>
      <c r="H25" s="9">
        <f>'Apr 2024'!K28</f>
        <v>111</v>
      </c>
      <c r="I25" s="9">
        <f>'Apr 2024'!N28</f>
        <v>18</v>
      </c>
      <c r="J25" s="9">
        <f>'Apr 2024'!P28</f>
        <v>11</v>
      </c>
      <c r="K25" s="9">
        <f>'Apr 2024'!X28</f>
        <v>7108.6250000000009</v>
      </c>
      <c r="L25" s="9">
        <f>'Apr 2024'!AC28</f>
        <v>8687</v>
      </c>
      <c r="M25" s="9">
        <f>'Apr 2024'!AP28</f>
        <v>9</v>
      </c>
      <c r="N25" s="9">
        <f>'Apr 2024'!AD28*315</f>
        <v>312.00749999999999</v>
      </c>
      <c r="O25" s="139">
        <f>'Apr 2024'!AE28</f>
        <v>429</v>
      </c>
    </row>
    <row r="26" spans="1:15" x14ac:dyDescent="0.25">
      <c r="A26" s="26" t="s">
        <v>77</v>
      </c>
      <c r="B26" s="2">
        <f t="shared" si="0"/>
        <v>25</v>
      </c>
      <c r="C26" s="16">
        <v>4</v>
      </c>
      <c r="D26" s="2">
        <v>2025</v>
      </c>
      <c r="E26" s="9">
        <f>'Apr 2024'!C29</f>
        <v>8175</v>
      </c>
      <c r="F26" s="9">
        <f>'Apr 2024'!E29</f>
        <v>6950</v>
      </c>
      <c r="G26" s="9">
        <f>'Apr 2024'!G29</f>
        <v>124</v>
      </c>
      <c r="H26" s="9">
        <f>'Apr 2024'!K29</f>
        <v>111</v>
      </c>
      <c r="I26" s="9">
        <f>'Apr 2024'!N29</f>
        <v>17</v>
      </c>
      <c r="J26" s="9">
        <f>'Apr 2024'!P29</f>
        <v>14</v>
      </c>
      <c r="K26" s="9">
        <f>'Apr 2024'!X29</f>
        <v>7108.6250000000009</v>
      </c>
      <c r="L26" s="9">
        <f>'Apr 2024'!AC29</f>
        <v>8695</v>
      </c>
      <c r="M26" s="9">
        <f>'Apr 2024'!AP29</f>
        <v>9</v>
      </c>
      <c r="N26" s="9">
        <f>'Apr 2024'!AD29*315</f>
        <v>309.99149999999997</v>
      </c>
      <c r="O26" s="139">
        <f>'Apr 2024'!AE29</f>
        <v>457</v>
      </c>
    </row>
    <row r="27" spans="1:15" x14ac:dyDescent="0.25">
      <c r="A27" s="26" t="s">
        <v>77</v>
      </c>
      <c r="B27" s="2">
        <f t="shared" si="0"/>
        <v>26</v>
      </c>
      <c r="C27" s="16">
        <v>4</v>
      </c>
      <c r="D27" s="2">
        <v>2025</v>
      </c>
      <c r="E27" s="9">
        <f>'Apr 2024'!C30</f>
        <v>8148</v>
      </c>
      <c r="F27" s="9">
        <f>'Apr 2024'!E30</f>
        <v>6880</v>
      </c>
      <c r="G27" s="9">
        <f>'Apr 2024'!G30</f>
        <v>121</v>
      </c>
      <c r="H27" s="9">
        <f>'Apr 2024'!K30</f>
        <v>106</v>
      </c>
      <c r="I27" s="9">
        <f>'Apr 2024'!N30</f>
        <v>19</v>
      </c>
      <c r="J27" s="9">
        <f>'Apr 2024'!P30</f>
        <v>14</v>
      </c>
      <c r="K27" s="9">
        <f>'Apr 2024'!X30</f>
        <v>7392.9700000000012</v>
      </c>
      <c r="L27" s="9">
        <f>'Apr 2024'!AC30</f>
        <v>8659</v>
      </c>
      <c r="M27" s="9">
        <f>'Apr 2024'!AP30</f>
        <v>11</v>
      </c>
      <c r="N27" s="9">
        <f>'Apr 2024'!AD30*315</f>
        <v>274.995</v>
      </c>
      <c r="O27" s="139">
        <f>'Apr 2024'!AE30</f>
        <v>421</v>
      </c>
    </row>
    <row r="28" spans="1:15" x14ac:dyDescent="0.25">
      <c r="A28" s="26" t="s">
        <v>77</v>
      </c>
      <c r="B28" s="2">
        <f t="shared" si="0"/>
        <v>27</v>
      </c>
      <c r="C28" s="16">
        <v>4</v>
      </c>
      <c r="D28" s="2">
        <v>2025</v>
      </c>
      <c r="E28" s="9">
        <f>'Apr 2024'!C31</f>
        <v>8100</v>
      </c>
      <c r="F28" s="9">
        <f>'Apr 2024'!E31</f>
        <v>6769</v>
      </c>
      <c r="G28" s="9">
        <f>'Apr 2024'!G31</f>
        <v>118</v>
      </c>
      <c r="H28" s="9">
        <f>'Apr 2024'!K31</f>
        <v>116</v>
      </c>
      <c r="I28" s="9">
        <f>'Apr 2024'!N31</f>
        <v>19</v>
      </c>
      <c r="J28" s="9">
        <f>'Apr 2024'!P31</f>
        <v>14</v>
      </c>
      <c r="K28" s="9">
        <f>'Apr 2024'!X31</f>
        <v>7677.3150000000005</v>
      </c>
      <c r="L28" s="9">
        <f>'Apr 2024'!AC31</f>
        <v>8781</v>
      </c>
      <c r="M28" s="9">
        <f>'Apr 2024'!AP31</f>
        <v>14</v>
      </c>
      <c r="N28" s="9">
        <f>'Apr 2024'!AD31*315</f>
        <v>298.99799999999999</v>
      </c>
      <c r="O28" s="139">
        <f>'Apr 2024'!AE31</f>
        <v>445</v>
      </c>
    </row>
    <row r="29" spans="1:15" x14ac:dyDescent="0.25">
      <c r="A29" s="26" t="s">
        <v>77</v>
      </c>
      <c r="B29" s="2">
        <f t="shared" si="0"/>
        <v>28</v>
      </c>
      <c r="C29" s="16">
        <v>4</v>
      </c>
      <c r="D29" s="2">
        <v>2025</v>
      </c>
      <c r="E29" s="9">
        <f>'Apr 2024'!C32</f>
        <v>8064</v>
      </c>
      <c r="F29" s="9">
        <f>'Apr 2024'!E32</f>
        <v>6726</v>
      </c>
      <c r="G29" s="9">
        <f>'Apr 2024'!G32</f>
        <v>121</v>
      </c>
      <c r="H29" s="9">
        <f>'Apr 2024'!K32</f>
        <v>103</v>
      </c>
      <c r="I29" s="9">
        <f>'Apr 2024'!N32</f>
        <v>18</v>
      </c>
      <c r="J29" s="9">
        <f>'Apr 2024'!P32</f>
        <v>15</v>
      </c>
      <c r="K29" s="9">
        <f>'Apr 2024'!X32</f>
        <v>7961.6600000000008</v>
      </c>
      <c r="L29" s="9">
        <f>'Apr 2024'!AC32</f>
        <v>9190</v>
      </c>
      <c r="M29" s="9">
        <f>'Apr 2024'!AP32</f>
        <v>9</v>
      </c>
      <c r="N29" s="9">
        <f>'Apr 2024'!AD32*315</f>
        <v>225.00450000000001</v>
      </c>
      <c r="O29" s="139">
        <f>'Apr 2024'!AE32</f>
        <v>270</v>
      </c>
    </row>
    <row r="30" spans="1:15" x14ac:dyDescent="0.25">
      <c r="A30" s="26" t="s">
        <v>77</v>
      </c>
      <c r="B30" s="2">
        <f t="shared" si="0"/>
        <v>29</v>
      </c>
      <c r="C30" s="16">
        <v>4</v>
      </c>
      <c r="D30" s="2">
        <v>2025</v>
      </c>
      <c r="E30" s="9">
        <f>'Apr 2024'!C33</f>
        <v>8034</v>
      </c>
      <c r="F30" s="9">
        <f>'Apr 2024'!E33</f>
        <v>6686</v>
      </c>
      <c r="G30" s="9">
        <f>'Apr 2024'!G33</f>
        <v>120</v>
      </c>
      <c r="H30" s="9">
        <f>'Apr 2024'!K33</f>
        <v>91</v>
      </c>
      <c r="I30" s="9">
        <f>'Apr 2024'!N33</f>
        <v>18</v>
      </c>
      <c r="J30" s="9">
        <f>'Apr 2024'!P33</f>
        <v>14</v>
      </c>
      <c r="K30" s="9">
        <f>'Apr 2024'!X33</f>
        <v>7677.3150000000005</v>
      </c>
      <c r="L30" s="9">
        <f>'Apr 2024'!AC33</f>
        <v>9658</v>
      </c>
      <c r="M30" s="9">
        <f>'Apr 2024'!AP33</f>
        <v>10</v>
      </c>
      <c r="N30" s="9">
        <f>'Apr 2024'!AD33*315</f>
        <v>308.98349999999999</v>
      </c>
      <c r="O30" s="139">
        <f>'Apr 2024'!AE33</f>
        <v>344</v>
      </c>
    </row>
    <row r="31" spans="1:15" x14ac:dyDescent="0.25">
      <c r="A31" s="26" t="s">
        <v>77</v>
      </c>
      <c r="B31" s="2">
        <f t="shared" si="0"/>
        <v>30</v>
      </c>
      <c r="C31" s="16">
        <v>4</v>
      </c>
      <c r="D31" s="2">
        <v>2025</v>
      </c>
      <c r="E31" s="9">
        <f>'Apr 2024'!C34</f>
        <v>8103</v>
      </c>
      <c r="F31" s="9">
        <f>'Apr 2024'!E34</f>
        <v>6915</v>
      </c>
      <c r="G31" s="9">
        <f>'Apr 2024'!G34</f>
        <v>121</v>
      </c>
      <c r="H31" s="9">
        <f>'Apr 2024'!K34</f>
        <v>105</v>
      </c>
      <c r="I31" s="9">
        <f>'Apr 2024'!N34</f>
        <v>20</v>
      </c>
      <c r="J31" s="9">
        <f>'Apr 2024'!P34</f>
        <v>14</v>
      </c>
      <c r="K31" s="9">
        <f>'Apr 2024'!X34</f>
        <v>8814.6950000000015</v>
      </c>
      <c r="L31" s="9">
        <f>'Apr 2024'!AC34</f>
        <v>10444</v>
      </c>
      <c r="M31" s="9">
        <f>'Apr 2024'!AP34</f>
        <v>12</v>
      </c>
      <c r="N31" s="9">
        <f>'Apr 2024'!AD34*315</f>
        <v>315</v>
      </c>
      <c r="O31" s="139">
        <f>'Apr 2024'!AE34</f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E066-68A4-4C95-BFD3-5F2186A48596}">
  <sheetPr>
    <pageSetUpPr fitToPage="1"/>
  </sheetPr>
  <dimension ref="A1:FI76"/>
  <sheetViews>
    <sheetView topLeftCell="H1" zoomScale="80" zoomScaleNormal="80" zoomScaleSheetLayoutView="80" workbookViewId="0">
      <pane ySplit="4" topLeftCell="A5" activePane="bottomLeft" state="frozen"/>
      <selection pane="bottomLeft" activeCell="V18" sqref="V1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49" s="4" customFormat="1" ht="24.95" customHeight="1" thickBot="1" x14ac:dyDescent="0.3">
      <c r="A1" s="175" t="s">
        <v>93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48"/>
      <c r="AG1" s="148"/>
      <c r="AH1" s="148"/>
    </row>
    <row r="2" spans="1:49" s="6" customFormat="1" ht="24.95" customHeight="1" thickBot="1" x14ac:dyDescent="0.35">
      <c r="A2" s="177" t="s">
        <v>0</v>
      </c>
      <c r="B2" s="180" t="s">
        <v>3</v>
      </c>
      <c r="C2" s="181"/>
      <c r="D2" s="181"/>
      <c r="E2" s="181"/>
      <c r="F2" s="181"/>
      <c r="G2" s="181"/>
      <c r="H2" s="181"/>
      <c r="I2" s="181"/>
      <c r="J2" s="182" t="s">
        <v>4</v>
      </c>
      <c r="K2" s="183"/>
      <c r="L2" s="183"/>
      <c r="M2" s="184" t="s">
        <v>49</v>
      </c>
      <c r="N2" s="185"/>
      <c r="O2" s="185"/>
      <c r="P2" s="185"/>
      <c r="Q2" s="185"/>
      <c r="R2" s="185"/>
      <c r="S2" s="185"/>
      <c r="T2" s="185"/>
      <c r="U2" s="186"/>
      <c r="V2" s="187" t="s">
        <v>2</v>
      </c>
      <c r="W2" s="188"/>
      <c r="X2" s="188"/>
      <c r="Y2" s="188"/>
      <c r="Z2" s="188"/>
      <c r="AA2" s="188"/>
      <c r="AB2" s="188"/>
      <c r="AC2" s="189"/>
      <c r="AD2" s="190" t="s">
        <v>17</v>
      </c>
      <c r="AE2" s="196"/>
      <c r="AF2" s="190" t="s">
        <v>55</v>
      </c>
      <c r="AG2" s="196"/>
      <c r="AH2" s="196"/>
      <c r="AI2" s="196"/>
      <c r="AJ2" s="196"/>
      <c r="AK2" s="196"/>
      <c r="AL2" s="196"/>
      <c r="AM2" s="196"/>
      <c r="AN2" s="196"/>
      <c r="AO2" s="196"/>
      <c r="AP2" s="196"/>
      <c r="AQ2" s="196"/>
      <c r="AR2" s="196"/>
      <c r="AS2" s="196"/>
      <c r="AT2" s="196"/>
      <c r="AU2" s="196"/>
      <c r="AV2" s="196"/>
      <c r="AW2" s="191"/>
    </row>
    <row r="3" spans="1:49" s="5" customFormat="1" ht="36.75" customHeight="1" x14ac:dyDescent="0.25">
      <c r="A3" s="178"/>
      <c r="B3" s="197" t="s">
        <v>36</v>
      </c>
      <c r="C3" s="198"/>
      <c r="D3" s="199" t="s">
        <v>37</v>
      </c>
      <c r="E3" s="200"/>
      <c r="F3" s="199" t="s">
        <v>38</v>
      </c>
      <c r="G3" s="200"/>
      <c r="H3" s="198" t="s">
        <v>20</v>
      </c>
      <c r="I3" s="202" t="s">
        <v>7</v>
      </c>
      <c r="J3" s="204" t="s">
        <v>21</v>
      </c>
      <c r="K3" s="206" t="s">
        <v>22</v>
      </c>
      <c r="L3" s="208" t="s">
        <v>6</v>
      </c>
      <c r="M3" s="210" t="s">
        <v>34</v>
      </c>
      <c r="N3" s="192"/>
      <c r="O3" s="192" t="s">
        <v>35</v>
      </c>
      <c r="P3" s="192"/>
      <c r="Q3" s="192" t="s">
        <v>39</v>
      </c>
      <c r="R3" s="192" t="s">
        <v>32</v>
      </c>
      <c r="S3" s="192" t="s">
        <v>33</v>
      </c>
      <c r="T3" s="228" t="s">
        <v>18</v>
      </c>
      <c r="U3" s="288" t="s">
        <v>31</v>
      </c>
      <c r="V3" s="194" t="s">
        <v>23</v>
      </c>
      <c r="W3" s="195" t="s">
        <v>8</v>
      </c>
      <c r="X3" s="195" t="s">
        <v>9</v>
      </c>
      <c r="Y3" s="195" t="s">
        <v>10</v>
      </c>
      <c r="Z3" s="195" t="s">
        <v>11</v>
      </c>
      <c r="AA3" s="195" t="s">
        <v>12</v>
      </c>
      <c r="AB3" s="195" t="s">
        <v>94</v>
      </c>
      <c r="AC3" s="289" t="s">
        <v>95</v>
      </c>
      <c r="AD3" s="290" t="s">
        <v>59</v>
      </c>
      <c r="AE3" s="291" t="s">
        <v>19</v>
      </c>
      <c r="AF3" s="211" t="s">
        <v>60</v>
      </c>
      <c r="AG3" s="212"/>
      <c r="AH3" s="213"/>
      <c r="AI3" s="214" t="s">
        <v>61</v>
      </c>
      <c r="AJ3" s="212"/>
      <c r="AK3" s="213"/>
      <c r="AL3" s="211" t="s">
        <v>62</v>
      </c>
      <c r="AM3" s="212"/>
      <c r="AN3" s="213"/>
      <c r="AO3" s="211" t="s">
        <v>63</v>
      </c>
      <c r="AP3" s="212"/>
      <c r="AQ3" s="213"/>
      <c r="AR3" s="211" t="s">
        <v>65</v>
      </c>
      <c r="AS3" s="212"/>
      <c r="AT3" s="213"/>
      <c r="AU3" s="212" t="s">
        <v>64</v>
      </c>
      <c r="AV3" s="212"/>
      <c r="AW3" s="213"/>
    </row>
    <row r="4" spans="1:49" s="5" customFormat="1" ht="36.75" customHeight="1" thickBot="1" x14ac:dyDescent="0.3">
      <c r="A4" s="179"/>
      <c r="B4" s="104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05" t="s">
        <v>5</v>
      </c>
      <c r="H4" s="201"/>
      <c r="I4" s="203"/>
      <c r="J4" s="205"/>
      <c r="K4" s="207"/>
      <c r="L4" s="209"/>
      <c r="M4" s="106" t="s">
        <v>1</v>
      </c>
      <c r="N4" s="46" t="s">
        <v>5</v>
      </c>
      <c r="O4" s="46" t="s">
        <v>1</v>
      </c>
      <c r="P4" s="46" t="s">
        <v>5</v>
      </c>
      <c r="Q4" s="193"/>
      <c r="R4" s="193"/>
      <c r="S4" s="193"/>
      <c r="T4" s="229"/>
      <c r="U4" s="292"/>
      <c r="V4" s="293"/>
      <c r="W4" s="294"/>
      <c r="X4" s="294"/>
      <c r="Y4" s="294"/>
      <c r="Z4" s="294"/>
      <c r="AA4" s="294"/>
      <c r="AB4" s="294"/>
      <c r="AC4" s="295"/>
      <c r="AD4" s="227"/>
      <c r="AE4" s="296"/>
      <c r="AF4" s="152" t="s">
        <v>57</v>
      </c>
      <c r="AG4" s="153" t="s">
        <v>58</v>
      </c>
      <c r="AH4" s="142" t="s">
        <v>13</v>
      </c>
      <c r="AI4" s="153" t="s">
        <v>57</v>
      </c>
      <c r="AJ4" s="153" t="s">
        <v>58</v>
      </c>
      <c r="AK4" s="142" t="s">
        <v>13</v>
      </c>
      <c r="AL4" s="152" t="s">
        <v>57</v>
      </c>
      <c r="AM4" s="153" t="s">
        <v>58</v>
      </c>
      <c r="AN4" s="142" t="s">
        <v>13</v>
      </c>
      <c r="AO4" s="152" t="s">
        <v>57</v>
      </c>
      <c r="AP4" s="153" t="s">
        <v>56</v>
      </c>
      <c r="AQ4" s="142" t="s">
        <v>13</v>
      </c>
      <c r="AR4" s="152" t="s">
        <v>57</v>
      </c>
      <c r="AS4" s="153" t="s">
        <v>56</v>
      </c>
      <c r="AT4" s="142" t="s">
        <v>13</v>
      </c>
      <c r="AU4" s="154" t="s">
        <v>57</v>
      </c>
      <c r="AV4" s="153" t="s">
        <v>56</v>
      </c>
      <c r="AW4" s="142" t="s">
        <v>13</v>
      </c>
    </row>
    <row r="5" spans="1:49" s="3" customFormat="1" ht="27.95" customHeight="1" x14ac:dyDescent="0.25">
      <c r="A5" s="98">
        <v>45383</v>
      </c>
      <c r="B5" s="91">
        <v>18913332</v>
      </c>
      <c r="C5" s="97">
        <v>7825</v>
      </c>
      <c r="D5" s="89">
        <v>19846902</v>
      </c>
      <c r="E5" s="97">
        <v>6969</v>
      </c>
      <c r="F5" s="89">
        <v>451713</v>
      </c>
      <c r="G5" s="97">
        <v>134</v>
      </c>
      <c r="H5" s="99">
        <f t="shared" ref="H5:H34" si="0">C5+E5+G5</f>
        <v>14928</v>
      </c>
      <c r="I5" s="100">
        <f t="shared" ref="I5:I34" si="1">H5*0.2</f>
        <v>2985.6000000000004</v>
      </c>
      <c r="J5" s="91">
        <v>78237</v>
      </c>
      <c r="K5" s="97">
        <v>86</v>
      </c>
      <c r="L5" s="101">
        <f t="shared" ref="L5:L34" si="2">K5*7.84</f>
        <v>674.24</v>
      </c>
      <c r="M5" s="88">
        <v>35334</v>
      </c>
      <c r="N5" s="97">
        <v>17</v>
      </c>
      <c r="O5" s="89">
        <v>20207</v>
      </c>
      <c r="P5" s="102">
        <v>13</v>
      </c>
      <c r="Q5" s="92">
        <f>N5+P5</f>
        <v>30</v>
      </c>
      <c r="R5" s="93">
        <v>51673</v>
      </c>
      <c r="S5" s="102">
        <v>29</v>
      </c>
      <c r="T5" s="102">
        <f>S5*1.0557</f>
        <v>30.615300000000001</v>
      </c>
      <c r="U5" s="100">
        <f>IF(ISBLANK(M5),"0",T5*11.05+216.666)</f>
        <v>554.9650650000001</v>
      </c>
      <c r="V5" s="297">
        <v>67153</v>
      </c>
      <c r="W5" s="97">
        <v>20</v>
      </c>
      <c r="X5" s="298">
        <f>IF(ISBLANK(V5),"0 ",W5*284.345)</f>
        <v>5686.9000000000005</v>
      </c>
      <c r="Y5" s="298">
        <f>X5*0.3442</f>
        <v>1957.4309800000003</v>
      </c>
      <c r="Z5" s="298">
        <f>IF(ISBLANK(V5),"0",1570*1546.86/12/30*0.65)</f>
        <v>4384.9184166666664</v>
      </c>
      <c r="AA5" s="299">
        <f>Y5+Z5</f>
        <v>6342.3493966666665</v>
      </c>
      <c r="AB5" s="300">
        <v>6078457</v>
      </c>
      <c r="AC5" s="301">
        <v>6479</v>
      </c>
      <c r="AD5" s="302">
        <v>0.76829999999999998</v>
      </c>
      <c r="AE5" s="139">
        <v>336</v>
      </c>
      <c r="AF5" s="88">
        <v>13304033</v>
      </c>
      <c r="AG5" s="138">
        <v>4962</v>
      </c>
      <c r="AH5" s="151">
        <f>AG5*0.2</f>
        <v>992.40000000000009</v>
      </c>
      <c r="AI5" s="88">
        <v>6180196</v>
      </c>
      <c r="AJ5" s="138">
        <v>2179</v>
      </c>
      <c r="AK5" s="151">
        <f>AJ5*0.2</f>
        <v>435.8</v>
      </c>
      <c r="AL5" s="303">
        <v>120357</v>
      </c>
      <c r="AM5" s="97">
        <v>225</v>
      </c>
      <c r="AN5" s="94">
        <f>AM5*0.2</f>
        <v>45</v>
      </c>
      <c r="AO5" s="91">
        <v>6070</v>
      </c>
      <c r="AP5" s="97">
        <v>9</v>
      </c>
      <c r="AQ5" s="139">
        <f>AP5*7.84</f>
        <v>70.56</v>
      </c>
      <c r="AR5" s="88">
        <v>2756</v>
      </c>
      <c r="AS5" s="97">
        <v>1</v>
      </c>
      <c r="AT5" s="103">
        <f>AS5*7.84</f>
        <v>7.84</v>
      </c>
      <c r="AU5" s="145">
        <v>110</v>
      </c>
      <c r="AV5" s="97">
        <v>1</v>
      </c>
      <c r="AW5" s="103">
        <f>AV5*7.84</f>
        <v>7.84</v>
      </c>
    </row>
    <row r="6" spans="1:49" s="3" customFormat="1" ht="27.95" customHeight="1" x14ac:dyDescent="0.25">
      <c r="A6" s="98">
        <v>45384</v>
      </c>
      <c r="B6" s="91">
        <v>18921237</v>
      </c>
      <c r="C6" s="89">
        <f t="shared" ref="C6:C34" si="3">IF(ISBLANK(B6),"0",B6-B5)</f>
        <v>7905</v>
      </c>
      <c r="D6" s="89">
        <v>19853812</v>
      </c>
      <c r="E6" s="89">
        <f>IF(ISBLANK(D6),"0",D6-D5)</f>
        <v>6910</v>
      </c>
      <c r="F6" s="89">
        <v>451848</v>
      </c>
      <c r="G6" s="89">
        <f>IF(ISBLANK(F6),"0",F6-F5)</f>
        <v>135</v>
      </c>
      <c r="H6" s="90">
        <f t="shared" si="0"/>
        <v>14950</v>
      </c>
      <c r="I6" s="109">
        <f t="shared" si="1"/>
        <v>2990</v>
      </c>
      <c r="J6" s="91">
        <v>78337</v>
      </c>
      <c r="K6" s="89">
        <f>IF(ISBLANK(J6),"0",J6-J5)</f>
        <v>100</v>
      </c>
      <c r="L6" s="75">
        <f t="shared" si="2"/>
        <v>784</v>
      </c>
      <c r="M6" s="88">
        <v>35352</v>
      </c>
      <c r="N6" s="89">
        <f>IF(ISBLANK(M6),"0",M6-M5)</f>
        <v>18</v>
      </c>
      <c r="O6" s="89">
        <v>20225</v>
      </c>
      <c r="P6" s="92">
        <f>IF(ISBLANK(O6),"0",O6-O5)</f>
        <v>18</v>
      </c>
      <c r="Q6" s="92">
        <f t="shared" ref="Q6:Q34" si="4">N6+P6</f>
        <v>36</v>
      </c>
      <c r="R6" s="93">
        <v>51707</v>
      </c>
      <c r="S6" s="92">
        <f>IF(ISBLANK(R6),"0",R6-R5)</f>
        <v>34</v>
      </c>
      <c r="T6" s="102">
        <f t="shared" ref="T6:T34" si="5">S6*1.0557</f>
        <v>35.893800000000006</v>
      </c>
      <c r="U6" s="100">
        <f t="shared" ref="U6:U34" si="6">IF(ISBLANK(M6),"0",T6*11.05+216.666)</f>
        <v>613.29249000000004</v>
      </c>
      <c r="V6" s="88">
        <v>67172</v>
      </c>
      <c r="W6" s="89">
        <f>IF(ISBLANK(V6)," ",V6-V5)</f>
        <v>19</v>
      </c>
      <c r="X6" s="169">
        <f>IF(ISBLANK(V6),"0 ",W6*284.345)</f>
        <v>5402.5550000000003</v>
      </c>
      <c r="Y6" s="169">
        <f t="shared" ref="Y6:Y34" si="7">X6*0.3442</f>
        <v>1859.5594310000001</v>
      </c>
      <c r="Z6" s="298">
        <f t="shared" ref="Z6:Z34" si="8">IF(ISBLANK(V6),"0",1570*1546.86/12/30*0.65)</f>
        <v>4384.9184166666664</v>
      </c>
      <c r="AA6" s="170">
        <f t="shared" ref="AA6:AA34" si="9">Y6+Z6</f>
        <v>6244.477847666667</v>
      </c>
      <c r="AB6" s="93">
        <v>6084995</v>
      </c>
      <c r="AC6" s="174">
        <f>IF(ISBLANK(AB6),"0 ",AB6-AB5)</f>
        <v>6538</v>
      </c>
      <c r="AD6" s="304">
        <v>0.8</v>
      </c>
      <c r="AE6" s="140">
        <v>360</v>
      </c>
      <c r="AF6" s="88">
        <v>13308961</v>
      </c>
      <c r="AG6" s="89">
        <f>IF(ISBLANK(AF6),"0",AF6-AF5)</f>
        <v>4928</v>
      </c>
      <c r="AH6" s="94">
        <f>AG6*0.2</f>
        <v>985.6</v>
      </c>
      <c r="AI6" s="88">
        <v>6182373</v>
      </c>
      <c r="AJ6" s="89">
        <f>IF(ISBLANK(AI6),"0",AI6-AI5)</f>
        <v>2177</v>
      </c>
      <c r="AK6" s="94">
        <f>AJ6*0.2</f>
        <v>435.40000000000003</v>
      </c>
      <c r="AL6" s="91">
        <v>120582</v>
      </c>
      <c r="AM6" s="89">
        <f>IF(ISBLANK(AL6),"0",AL6-AL5)</f>
        <v>225</v>
      </c>
      <c r="AN6" s="94">
        <f>AM6*0.2</f>
        <v>45</v>
      </c>
      <c r="AO6" s="91">
        <v>6079</v>
      </c>
      <c r="AP6" s="89">
        <f>IF(ISBLANK(AO6),"0",AO6-AO5)</f>
        <v>9</v>
      </c>
      <c r="AQ6" s="140">
        <f>AP6*7.84</f>
        <v>70.56</v>
      </c>
      <c r="AR6" s="88">
        <v>2757</v>
      </c>
      <c r="AS6" s="89">
        <f>IF(ISBLANK(AR6),"0",AR6-AR5)</f>
        <v>1</v>
      </c>
      <c r="AT6" s="94">
        <f t="shared" ref="AT6:AT34" si="10">AS6*7.84</f>
        <v>7.84</v>
      </c>
      <c r="AU6" s="88">
        <v>111</v>
      </c>
      <c r="AV6" s="89">
        <f>IF(ISBLANK(AU6),"0",AU6-AU5)</f>
        <v>1</v>
      </c>
      <c r="AW6" s="94">
        <f>AV6*7.84</f>
        <v>7.84</v>
      </c>
    </row>
    <row r="7" spans="1:49" s="3" customFormat="1" ht="27.95" customHeight="1" x14ac:dyDescent="0.25">
      <c r="A7" s="98">
        <v>45385</v>
      </c>
      <c r="B7" s="91">
        <v>18929121</v>
      </c>
      <c r="C7" s="89">
        <f t="shared" si="3"/>
        <v>7884</v>
      </c>
      <c r="D7" s="89">
        <v>19860756</v>
      </c>
      <c r="E7" s="89">
        <f t="shared" ref="E7:E34" si="11">IF(ISBLANK(D7),"0",D7-D6)</f>
        <v>6944</v>
      </c>
      <c r="F7" s="89">
        <v>451982</v>
      </c>
      <c r="G7" s="89">
        <f t="shared" ref="G7:G34" si="12">IF(ISBLANK(F7),"0",F7-F6)</f>
        <v>134</v>
      </c>
      <c r="H7" s="90">
        <f t="shared" si="0"/>
        <v>14962</v>
      </c>
      <c r="I7" s="109">
        <f t="shared" si="1"/>
        <v>2992.4</v>
      </c>
      <c r="J7" s="91">
        <v>78436</v>
      </c>
      <c r="K7" s="89">
        <f t="shared" ref="K7:K34" si="13">IF(ISBLANK(J7),"0",J7-J6)</f>
        <v>99</v>
      </c>
      <c r="L7" s="75">
        <f t="shared" si="2"/>
        <v>776.16</v>
      </c>
      <c r="M7" s="88">
        <v>35369</v>
      </c>
      <c r="N7" s="89">
        <f t="shared" ref="N7:N34" si="14">IF(ISBLANK(M7),"0",M7-M6)</f>
        <v>17</v>
      </c>
      <c r="O7" s="89">
        <v>20241</v>
      </c>
      <c r="P7" s="92">
        <f t="shared" ref="P7:P34" si="15">IF(ISBLANK(O7),"0",O7-O6)</f>
        <v>16</v>
      </c>
      <c r="Q7" s="92">
        <f t="shared" si="4"/>
        <v>33</v>
      </c>
      <c r="R7" s="93">
        <v>51739</v>
      </c>
      <c r="S7" s="92">
        <f t="shared" ref="S7:S34" si="16">IF(ISBLANK(R7),"0",R7-R6)</f>
        <v>32</v>
      </c>
      <c r="T7" s="102">
        <f t="shared" si="5"/>
        <v>33.782400000000003</v>
      </c>
      <c r="U7" s="100">
        <f t="shared" si="6"/>
        <v>589.96152000000006</v>
      </c>
      <c r="V7" s="88">
        <v>67192</v>
      </c>
      <c r="W7" s="89">
        <f t="shared" ref="W7:W22" si="17">IF(ISBLANK(V7)," ",V7-V6)</f>
        <v>20</v>
      </c>
      <c r="X7" s="169">
        <f>IF(ISBLANK(V7),"0 ",W7*284.345)</f>
        <v>5686.9000000000005</v>
      </c>
      <c r="Y7" s="169">
        <f t="shared" si="7"/>
        <v>1957.4309800000003</v>
      </c>
      <c r="Z7" s="298">
        <f t="shared" si="8"/>
        <v>4384.9184166666664</v>
      </c>
      <c r="AA7" s="170">
        <f t="shared" si="9"/>
        <v>6342.3493966666665</v>
      </c>
      <c r="AB7" s="93">
        <v>6091784</v>
      </c>
      <c r="AC7" s="174">
        <f t="shared" ref="AC7:AC34" si="18">IF(ISBLANK(AB7),"0 ",AB7-AB6)</f>
        <v>6789</v>
      </c>
      <c r="AD7" s="304">
        <v>0.74919999999999998</v>
      </c>
      <c r="AE7" s="140">
        <v>333</v>
      </c>
      <c r="AF7" s="88">
        <v>13313933</v>
      </c>
      <c r="AG7" s="89">
        <f t="shared" ref="AG7:AG34" si="19">IF(ISBLANK(AF7),"0",AF7-AF6)</f>
        <v>4972</v>
      </c>
      <c r="AH7" s="94">
        <f t="shared" ref="AH7:AH34" si="20">AG7*0.2</f>
        <v>994.40000000000009</v>
      </c>
      <c r="AI7" s="88">
        <v>6184539</v>
      </c>
      <c r="AJ7" s="89">
        <f t="shared" ref="AJ7:AJ34" si="21">IF(ISBLANK(AI7),"0",AI7-AI6)</f>
        <v>2166</v>
      </c>
      <c r="AK7" s="94">
        <f t="shared" ref="AK7:AK34" si="22">AJ7*0.2</f>
        <v>433.20000000000005</v>
      </c>
      <c r="AL7" s="91">
        <v>120824</v>
      </c>
      <c r="AM7" s="89">
        <f t="shared" ref="AM7:AM34" si="23">IF(ISBLANK(AL7),"0",AL7-AL6)</f>
        <v>242</v>
      </c>
      <c r="AN7" s="94">
        <f t="shared" ref="AN7:AN34" si="24">AM7*0.2</f>
        <v>48.400000000000006</v>
      </c>
      <c r="AO7" s="91">
        <v>6089</v>
      </c>
      <c r="AP7" s="89">
        <f>IF(ISBLANK(AO7),"0",AO7-AO6)</f>
        <v>10</v>
      </c>
      <c r="AQ7" s="140">
        <f t="shared" ref="AQ7:AQ34" si="25">AP7*7.84</f>
        <v>78.400000000000006</v>
      </c>
      <c r="AR7" s="88">
        <v>2758</v>
      </c>
      <c r="AS7" s="89">
        <f t="shared" ref="AS7:AS34" si="26">IF(ISBLANK(AR7),"0",AR7-AR6)</f>
        <v>1</v>
      </c>
      <c r="AT7" s="94">
        <f t="shared" si="10"/>
        <v>7.84</v>
      </c>
      <c r="AU7" s="88">
        <v>112</v>
      </c>
      <c r="AV7" s="89">
        <f t="shared" ref="AV7:AV34" si="27">IF(ISBLANK(AU7),"0",AU7-AU6)</f>
        <v>1</v>
      </c>
      <c r="AW7" s="94">
        <f t="shared" ref="AW7:AW34" si="28">AV7*7.84</f>
        <v>7.84</v>
      </c>
    </row>
    <row r="8" spans="1:49" s="3" customFormat="1" ht="27.95" customHeight="1" x14ac:dyDescent="0.25">
      <c r="A8" s="98">
        <v>45386</v>
      </c>
      <c r="B8" s="91">
        <v>18936943</v>
      </c>
      <c r="C8" s="89">
        <f t="shared" si="3"/>
        <v>7822</v>
      </c>
      <c r="D8" s="89">
        <v>19867680</v>
      </c>
      <c r="E8" s="89">
        <f t="shared" si="11"/>
        <v>6924</v>
      </c>
      <c r="F8" s="89">
        <v>452118</v>
      </c>
      <c r="G8" s="89">
        <f t="shared" si="12"/>
        <v>136</v>
      </c>
      <c r="H8" s="90">
        <f t="shared" si="0"/>
        <v>14882</v>
      </c>
      <c r="I8" s="109">
        <f t="shared" si="1"/>
        <v>2976.4</v>
      </c>
      <c r="J8" s="91">
        <v>78524</v>
      </c>
      <c r="K8" s="89">
        <f t="shared" si="13"/>
        <v>88</v>
      </c>
      <c r="L8" s="75">
        <f t="shared" si="2"/>
        <v>689.92</v>
      </c>
      <c r="M8" s="88">
        <v>35386</v>
      </c>
      <c r="N8" s="89">
        <f t="shared" si="14"/>
        <v>17</v>
      </c>
      <c r="O8" s="89">
        <v>20256</v>
      </c>
      <c r="P8" s="92">
        <f t="shared" si="15"/>
        <v>15</v>
      </c>
      <c r="Q8" s="92">
        <f t="shared" si="4"/>
        <v>32</v>
      </c>
      <c r="R8" s="93">
        <v>51771</v>
      </c>
      <c r="S8" s="92">
        <f t="shared" si="16"/>
        <v>32</v>
      </c>
      <c r="T8" s="102">
        <f t="shared" si="5"/>
        <v>33.782400000000003</v>
      </c>
      <c r="U8" s="100">
        <f t="shared" si="6"/>
        <v>589.96152000000006</v>
      </c>
      <c r="V8" s="88">
        <v>67213</v>
      </c>
      <c r="W8" s="89">
        <f t="shared" si="17"/>
        <v>21</v>
      </c>
      <c r="X8" s="169">
        <f t="shared" ref="X8:X34" si="29">IF(ISBLANK(V8),"0 ",W8*284.345)</f>
        <v>5971.2450000000008</v>
      </c>
      <c r="Y8" s="169">
        <f t="shared" si="7"/>
        <v>2055.3025290000005</v>
      </c>
      <c r="Z8" s="298">
        <f t="shared" si="8"/>
        <v>4384.9184166666664</v>
      </c>
      <c r="AA8" s="170">
        <f t="shared" si="9"/>
        <v>6440.2209456666669</v>
      </c>
      <c r="AB8" s="93">
        <v>6098748</v>
      </c>
      <c r="AC8" s="174">
        <f t="shared" si="18"/>
        <v>6964</v>
      </c>
      <c r="AD8" s="305">
        <v>0.6159</v>
      </c>
      <c r="AE8" s="140">
        <v>293</v>
      </c>
      <c r="AF8" s="88">
        <v>13318859</v>
      </c>
      <c r="AG8" s="89">
        <f t="shared" si="19"/>
        <v>4926</v>
      </c>
      <c r="AH8" s="94">
        <f t="shared" si="20"/>
        <v>985.2</v>
      </c>
      <c r="AI8" s="88">
        <v>6186663</v>
      </c>
      <c r="AJ8" s="89">
        <f t="shared" si="21"/>
        <v>2124</v>
      </c>
      <c r="AK8" s="94">
        <f t="shared" si="22"/>
        <v>424.8</v>
      </c>
      <c r="AL8" s="91">
        <v>121065</v>
      </c>
      <c r="AM8" s="89">
        <f t="shared" si="23"/>
        <v>241</v>
      </c>
      <c r="AN8" s="94">
        <f t="shared" si="24"/>
        <v>48.2</v>
      </c>
      <c r="AO8" s="91">
        <v>6098</v>
      </c>
      <c r="AP8" s="89">
        <f t="shared" ref="AP8:AP34" si="30">IF(ISBLANK(AO8),"0",AO8-AO7)</f>
        <v>9</v>
      </c>
      <c r="AQ8" s="140">
        <f t="shared" si="25"/>
        <v>70.56</v>
      </c>
      <c r="AR8" s="88">
        <v>2760</v>
      </c>
      <c r="AS8" s="89">
        <f t="shared" si="26"/>
        <v>2</v>
      </c>
      <c r="AT8" s="94">
        <f t="shared" si="10"/>
        <v>15.68</v>
      </c>
      <c r="AU8" s="88">
        <v>113</v>
      </c>
      <c r="AV8" s="89">
        <f t="shared" si="27"/>
        <v>1</v>
      </c>
      <c r="AW8" s="94">
        <f t="shared" si="28"/>
        <v>7.84</v>
      </c>
    </row>
    <row r="9" spans="1:49" s="3" customFormat="1" ht="27.95" customHeight="1" x14ac:dyDescent="0.25">
      <c r="A9" s="98">
        <v>45387</v>
      </c>
      <c r="B9" s="91">
        <v>18944460</v>
      </c>
      <c r="C9" s="89">
        <f t="shared" si="3"/>
        <v>7517</v>
      </c>
      <c r="D9" s="89">
        <v>19874475</v>
      </c>
      <c r="E9" s="89">
        <f t="shared" si="11"/>
        <v>6795</v>
      </c>
      <c r="F9" s="89">
        <v>452254</v>
      </c>
      <c r="G9" s="89">
        <f t="shared" si="12"/>
        <v>136</v>
      </c>
      <c r="H9" s="90">
        <f t="shared" si="0"/>
        <v>14448</v>
      </c>
      <c r="I9" s="109">
        <f t="shared" si="1"/>
        <v>2889.6000000000004</v>
      </c>
      <c r="J9" s="91">
        <v>78630</v>
      </c>
      <c r="K9" s="89">
        <f t="shared" si="13"/>
        <v>106</v>
      </c>
      <c r="L9" s="75">
        <f t="shared" si="2"/>
        <v>831.04</v>
      </c>
      <c r="M9" s="88">
        <v>35405</v>
      </c>
      <c r="N9" s="89">
        <f t="shared" si="14"/>
        <v>19</v>
      </c>
      <c r="O9" s="89">
        <v>20272</v>
      </c>
      <c r="P9" s="92">
        <f t="shared" si="15"/>
        <v>16</v>
      </c>
      <c r="Q9" s="92">
        <f t="shared" si="4"/>
        <v>35</v>
      </c>
      <c r="R9" s="93">
        <v>51805</v>
      </c>
      <c r="S9" s="92">
        <f t="shared" si="16"/>
        <v>34</v>
      </c>
      <c r="T9" s="102">
        <f t="shared" si="5"/>
        <v>35.893800000000006</v>
      </c>
      <c r="U9" s="100">
        <f t="shared" si="6"/>
        <v>613.29249000000004</v>
      </c>
      <c r="V9" s="88">
        <v>67234</v>
      </c>
      <c r="W9" s="89">
        <f t="shared" si="17"/>
        <v>21</v>
      </c>
      <c r="X9" s="169">
        <f t="shared" si="29"/>
        <v>5971.2450000000008</v>
      </c>
      <c r="Y9" s="169">
        <f t="shared" si="7"/>
        <v>2055.3025290000005</v>
      </c>
      <c r="Z9" s="298">
        <f t="shared" si="8"/>
        <v>4384.9184166666664</v>
      </c>
      <c r="AA9" s="170">
        <f t="shared" si="9"/>
        <v>6440.2209456666669</v>
      </c>
      <c r="AB9" s="93">
        <v>6105361</v>
      </c>
      <c r="AC9" s="174">
        <f t="shared" si="18"/>
        <v>6613</v>
      </c>
      <c r="AD9" s="304">
        <v>0.6</v>
      </c>
      <c r="AE9" s="140">
        <v>320</v>
      </c>
      <c r="AF9" s="88">
        <v>13323579</v>
      </c>
      <c r="AG9" s="89">
        <f t="shared" si="19"/>
        <v>4720</v>
      </c>
      <c r="AH9" s="94">
        <f t="shared" si="20"/>
        <v>944</v>
      </c>
      <c r="AI9" s="88">
        <v>6188748</v>
      </c>
      <c r="AJ9" s="89">
        <f t="shared" si="21"/>
        <v>2085</v>
      </c>
      <c r="AK9" s="94">
        <f t="shared" si="22"/>
        <v>417</v>
      </c>
      <c r="AL9" s="91">
        <v>121298</v>
      </c>
      <c r="AM9" s="89">
        <f t="shared" si="23"/>
        <v>233</v>
      </c>
      <c r="AN9" s="94">
        <f t="shared" si="24"/>
        <v>46.6</v>
      </c>
      <c r="AO9" s="91">
        <v>6107</v>
      </c>
      <c r="AP9" s="89">
        <f t="shared" si="30"/>
        <v>9</v>
      </c>
      <c r="AQ9" s="140">
        <f t="shared" si="25"/>
        <v>70.56</v>
      </c>
      <c r="AR9" s="88">
        <v>2761</v>
      </c>
      <c r="AS9" s="89">
        <f t="shared" si="26"/>
        <v>1</v>
      </c>
      <c r="AT9" s="94">
        <f t="shared" si="10"/>
        <v>7.84</v>
      </c>
      <c r="AU9" s="88">
        <v>114</v>
      </c>
      <c r="AV9" s="89">
        <f t="shared" si="27"/>
        <v>1</v>
      </c>
      <c r="AW9" s="94">
        <f t="shared" si="28"/>
        <v>7.84</v>
      </c>
    </row>
    <row r="10" spans="1:49" s="3" customFormat="1" ht="27.95" customHeight="1" x14ac:dyDescent="0.25">
      <c r="A10" s="98">
        <v>45388</v>
      </c>
      <c r="B10" s="91">
        <v>18952104</v>
      </c>
      <c r="C10" s="89">
        <f t="shared" si="3"/>
        <v>7644</v>
      </c>
      <c r="D10" s="89">
        <v>19881372</v>
      </c>
      <c r="E10" s="89">
        <f>IF(ISBLANK(D10),"0",D10-D9)</f>
        <v>6897</v>
      </c>
      <c r="F10" s="89">
        <v>452391</v>
      </c>
      <c r="G10" s="89">
        <f>IF(ISBLANK(F10),"0",F10-F9)</f>
        <v>137</v>
      </c>
      <c r="H10" s="90">
        <f t="shared" si="0"/>
        <v>14678</v>
      </c>
      <c r="I10" s="109">
        <f t="shared" si="1"/>
        <v>2935.6000000000004</v>
      </c>
      <c r="J10" s="91">
        <v>78711</v>
      </c>
      <c r="K10" s="89">
        <f t="shared" si="13"/>
        <v>81</v>
      </c>
      <c r="L10" s="75">
        <f t="shared" si="2"/>
        <v>635.04</v>
      </c>
      <c r="M10" s="88">
        <v>35423</v>
      </c>
      <c r="N10" s="89">
        <f>IF(ISBLANK(M10),"0",M10-M9)</f>
        <v>18</v>
      </c>
      <c r="O10" s="89">
        <v>20287</v>
      </c>
      <c r="P10" s="92">
        <f t="shared" si="15"/>
        <v>15</v>
      </c>
      <c r="Q10" s="92">
        <f t="shared" si="4"/>
        <v>33</v>
      </c>
      <c r="R10" s="93">
        <v>51838</v>
      </c>
      <c r="S10" s="92">
        <f t="shared" si="16"/>
        <v>33</v>
      </c>
      <c r="T10" s="102">
        <f t="shared" si="5"/>
        <v>34.838100000000004</v>
      </c>
      <c r="U10" s="100">
        <f t="shared" si="6"/>
        <v>601.62700500000005</v>
      </c>
      <c r="V10" s="88">
        <v>67254</v>
      </c>
      <c r="W10" s="89">
        <f t="shared" si="17"/>
        <v>20</v>
      </c>
      <c r="X10" s="169">
        <f t="shared" si="29"/>
        <v>5686.9000000000005</v>
      </c>
      <c r="Y10" s="169">
        <f t="shared" si="7"/>
        <v>1957.4309800000003</v>
      </c>
      <c r="Z10" s="298">
        <f t="shared" si="8"/>
        <v>4384.9184166666664</v>
      </c>
      <c r="AA10" s="170">
        <f t="shared" si="9"/>
        <v>6342.3493966666665</v>
      </c>
      <c r="AB10" s="93">
        <v>6111981</v>
      </c>
      <c r="AC10" s="174">
        <f t="shared" si="18"/>
        <v>6620</v>
      </c>
      <c r="AD10" s="304">
        <v>0.4667</v>
      </c>
      <c r="AE10" s="140">
        <v>241</v>
      </c>
      <c r="AF10" s="88">
        <v>13327680</v>
      </c>
      <c r="AG10" s="89">
        <f t="shared" si="19"/>
        <v>4101</v>
      </c>
      <c r="AH10" s="94">
        <f t="shared" si="20"/>
        <v>820.2</v>
      </c>
      <c r="AI10" s="88">
        <v>6190746</v>
      </c>
      <c r="AJ10" s="89">
        <f t="shared" si="21"/>
        <v>1998</v>
      </c>
      <c r="AK10" s="94">
        <f t="shared" si="22"/>
        <v>399.6</v>
      </c>
      <c r="AL10" s="91">
        <v>121524</v>
      </c>
      <c r="AM10" s="89">
        <f t="shared" si="23"/>
        <v>226</v>
      </c>
      <c r="AN10" s="94">
        <f t="shared" si="24"/>
        <v>45.2</v>
      </c>
      <c r="AO10" s="91">
        <v>6115</v>
      </c>
      <c r="AP10" s="89">
        <f t="shared" si="30"/>
        <v>8</v>
      </c>
      <c r="AQ10" s="140">
        <f t="shared" si="25"/>
        <v>62.72</v>
      </c>
      <c r="AR10" s="88">
        <v>2762</v>
      </c>
      <c r="AS10" s="89">
        <f t="shared" si="26"/>
        <v>1</v>
      </c>
      <c r="AT10" s="94">
        <f t="shared" si="10"/>
        <v>7.84</v>
      </c>
      <c r="AU10" s="88">
        <v>115</v>
      </c>
      <c r="AV10" s="89">
        <f t="shared" si="27"/>
        <v>1</v>
      </c>
      <c r="AW10" s="94">
        <f t="shared" si="28"/>
        <v>7.84</v>
      </c>
    </row>
    <row r="11" spans="1:49" s="3" customFormat="1" ht="27.95" customHeight="1" x14ac:dyDescent="0.25">
      <c r="A11" s="98">
        <v>45389</v>
      </c>
      <c r="B11" s="91">
        <v>18959751</v>
      </c>
      <c r="C11" s="89">
        <f t="shared" si="3"/>
        <v>7647</v>
      </c>
      <c r="D11" s="89">
        <v>19888181</v>
      </c>
      <c r="E11" s="89">
        <f t="shared" si="11"/>
        <v>6809</v>
      </c>
      <c r="F11" s="89">
        <v>452528</v>
      </c>
      <c r="G11" s="89">
        <f t="shared" si="12"/>
        <v>137</v>
      </c>
      <c r="H11" s="90">
        <f t="shared" si="0"/>
        <v>14593</v>
      </c>
      <c r="I11" s="109">
        <f t="shared" si="1"/>
        <v>2918.6000000000004</v>
      </c>
      <c r="J11" s="91">
        <v>78793</v>
      </c>
      <c r="K11" s="89">
        <f t="shared" si="13"/>
        <v>82</v>
      </c>
      <c r="L11" s="75">
        <f t="shared" si="2"/>
        <v>642.88</v>
      </c>
      <c r="M11" s="88">
        <v>35439</v>
      </c>
      <c r="N11" s="89">
        <f t="shared" si="14"/>
        <v>16</v>
      </c>
      <c r="O11" s="89">
        <v>20302</v>
      </c>
      <c r="P11" s="92">
        <f t="shared" si="15"/>
        <v>15</v>
      </c>
      <c r="Q11" s="92">
        <f t="shared" si="4"/>
        <v>31</v>
      </c>
      <c r="R11" s="93">
        <v>51867</v>
      </c>
      <c r="S11" s="92">
        <f>IF(ISBLANK(R11),"0",R11-R10)</f>
        <v>29</v>
      </c>
      <c r="T11" s="102">
        <f t="shared" si="5"/>
        <v>30.615300000000001</v>
      </c>
      <c r="U11" s="100">
        <f t="shared" si="6"/>
        <v>554.9650650000001</v>
      </c>
      <c r="V11" s="88">
        <v>67274</v>
      </c>
      <c r="W11" s="89">
        <f t="shared" si="17"/>
        <v>20</v>
      </c>
      <c r="X11" s="169">
        <f t="shared" si="29"/>
        <v>5686.9000000000005</v>
      </c>
      <c r="Y11" s="169">
        <f t="shared" si="7"/>
        <v>1957.4309800000003</v>
      </c>
      <c r="Z11" s="298">
        <f t="shared" si="8"/>
        <v>4384.9184166666664</v>
      </c>
      <c r="AA11" s="170">
        <f t="shared" si="9"/>
        <v>6342.3493966666665</v>
      </c>
      <c r="AB11" s="93">
        <v>6118532</v>
      </c>
      <c r="AC11" s="174">
        <f t="shared" si="18"/>
        <v>6551</v>
      </c>
      <c r="AD11" s="304">
        <v>0.51429999999999998</v>
      </c>
      <c r="AE11" s="140">
        <v>281</v>
      </c>
      <c r="AF11" s="88">
        <v>13331777</v>
      </c>
      <c r="AG11" s="89">
        <f t="shared" si="19"/>
        <v>4097</v>
      </c>
      <c r="AH11" s="94">
        <f t="shared" si="20"/>
        <v>819.40000000000009</v>
      </c>
      <c r="AI11" s="88">
        <v>6192750</v>
      </c>
      <c r="AJ11" s="89">
        <f t="shared" si="21"/>
        <v>2004</v>
      </c>
      <c r="AK11" s="94">
        <f t="shared" si="22"/>
        <v>400.8</v>
      </c>
      <c r="AL11" s="91">
        <v>121743</v>
      </c>
      <c r="AM11" s="89">
        <f t="shared" si="23"/>
        <v>219</v>
      </c>
      <c r="AN11" s="94">
        <f t="shared" si="24"/>
        <v>43.800000000000004</v>
      </c>
      <c r="AO11" s="91">
        <v>6124</v>
      </c>
      <c r="AP11" s="89">
        <f t="shared" si="30"/>
        <v>9</v>
      </c>
      <c r="AQ11" s="140">
        <f t="shared" si="25"/>
        <v>70.56</v>
      </c>
      <c r="AR11" s="88">
        <v>2763</v>
      </c>
      <c r="AS11" s="89">
        <f t="shared" si="26"/>
        <v>1</v>
      </c>
      <c r="AT11" s="94">
        <f t="shared" si="10"/>
        <v>7.84</v>
      </c>
      <c r="AU11" s="88">
        <v>115</v>
      </c>
      <c r="AV11" s="89">
        <f t="shared" si="27"/>
        <v>0</v>
      </c>
      <c r="AW11" s="94">
        <f t="shared" si="28"/>
        <v>0</v>
      </c>
    </row>
    <row r="12" spans="1:49" s="3" customFormat="1" ht="27.95" customHeight="1" x14ac:dyDescent="0.25">
      <c r="A12" s="98">
        <v>45390</v>
      </c>
      <c r="B12" s="91">
        <v>18967265</v>
      </c>
      <c r="C12" s="89">
        <f t="shared" si="3"/>
        <v>7514</v>
      </c>
      <c r="D12" s="89">
        <v>19894813</v>
      </c>
      <c r="E12" s="89">
        <f t="shared" si="11"/>
        <v>6632</v>
      </c>
      <c r="F12" s="89">
        <v>452664</v>
      </c>
      <c r="G12" s="89">
        <f t="shared" si="12"/>
        <v>136</v>
      </c>
      <c r="H12" s="90">
        <f t="shared" si="0"/>
        <v>14282</v>
      </c>
      <c r="I12" s="109">
        <f>H12*0.2</f>
        <v>2856.4</v>
      </c>
      <c r="J12" s="91">
        <v>78845</v>
      </c>
      <c r="K12" s="89">
        <f t="shared" si="13"/>
        <v>52</v>
      </c>
      <c r="L12" s="75">
        <f t="shared" si="2"/>
        <v>407.68</v>
      </c>
      <c r="M12" s="88">
        <v>35457</v>
      </c>
      <c r="N12" s="89">
        <f t="shared" si="14"/>
        <v>18</v>
      </c>
      <c r="O12" s="89">
        <v>20315</v>
      </c>
      <c r="P12" s="92">
        <f t="shared" si="15"/>
        <v>13</v>
      </c>
      <c r="Q12" s="92">
        <f t="shared" si="4"/>
        <v>31</v>
      </c>
      <c r="R12" s="93">
        <v>51897</v>
      </c>
      <c r="S12" s="92">
        <f t="shared" si="16"/>
        <v>30</v>
      </c>
      <c r="T12" s="102">
        <f t="shared" si="5"/>
        <v>31.671000000000003</v>
      </c>
      <c r="U12" s="100">
        <f t="shared" si="6"/>
        <v>566.63055000000008</v>
      </c>
      <c r="V12" s="88">
        <v>67294</v>
      </c>
      <c r="W12" s="89">
        <f t="shared" si="17"/>
        <v>20</v>
      </c>
      <c r="X12" s="169">
        <f t="shared" si="29"/>
        <v>5686.9000000000005</v>
      </c>
      <c r="Y12" s="169">
        <f t="shared" si="7"/>
        <v>1957.4309800000003</v>
      </c>
      <c r="Z12" s="298">
        <f t="shared" si="8"/>
        <v>4384.9184166666664</v>
      </c>
      <c r="AA12" s="170">
        <f t="shared" si="9"/>
        <v>6342.3493966666665</v>
      </c>
      <c r="AB12" s="93">
        <v>6125374</v>
      </c>
      <c r="AC12" s="174">
        <f t="shared" si="18"/>
        <v>6842</v>
      </c>
      <c r="AD12" s="306">
        <v>0.52380000000000004</v>
      </c>
      <c r="AE12" s="140">
        <v>298</v>
      </c>
      <c r="AF12" s="88">
        <v>13335771</v>
      </c>
      <c r="AG12" s="89">
        <f t="shared" si="19"/>
        <v>3994</v>
      </c>
      <c r="AH12" s="94">
        <f t="shared" si="20"/>
        <v>798.80000000000007</v>
      </c>
      <c r="AI12" s="88">
        <v>6194674</v>
      </c>
      <c r="AJ12" s="89">
        <f t="shared" si="21"/>
        <v>1924</v>
      </c>
      <c r="AK12" s="94">
        <f t="shared" si="22"/>
        <v>384.8</v>
      </c>
      <c r="AL12" s="91">
        <v>121969</v>
      </c>
      <c r="AM12" s="89">
        <f t="shared" si="23"/>
        <v>226</v>
      </c>
      <c r="AN12" s="94">
        <f t="shared" si="24"/>
        <v>45.2</v>
      </c>
      <c r="AO12" s="91">
        <v>6132</v>
      </c>
      <c r="AP12" s="89">
        <f t="shared" si="30"/>
        <v>8</v>
      </c>
      <c r="AQ12" s="140">
        <f t="shared" si="25"/>
        <v>62.72</v>
      </c>
      <c r="AR12" s="88">
        <v>2765</v>
      </c>
      <c r="AS12" s="89">
        <f t="shared" si="26"/>
        <v>2</v>
      </c>
      <c r="AT12" s="94">
        <f t="shared" si="10"/>
        <v>15.68</v>
      </c>
      <c r="AU12" s="88">
        <v>116</v>
      </c>
      <c r="AV12" s="89">
        <f t="shared" si="27"/>
        <v>1</v>
      </c>
      <c r="AW12" s="94">
        <f t="shared" si="28"/>
        <v>7.84</v>
      </c>
    </row>
    <row r="13" spans="1:49" s="3" customFormat="1" ht="27.95" customHeight="1" x14ac:dyDescent="0.25">
      <c r="A13" s="98">
        <v>45391</v>
      </c>
      <c r="B13" s="91">
        <v>18975145</v>
      </c>
      <c r="C13" s="89">
        <f t="shared" si="3"/>
        <v>7880</v>
      </c>
      <c r="D13" s="89">
        <v>19901654</v>
      </c>
      <c r="E13" s="89">
        <f t="shared" si="11"/>
        <v>6841</v>
      </c>
      <c r="F13" s="89">
        <v>452800</v>
      </c>
      <c r="G13" s="89">
        <f t="shared" si="12"/>
        <v>136</v>
      </c>
      <c r="H13" s="90">
        <f t="shared" si="0"/>
        <v>14857</v>
      </c>
      <c r="I13" s="109">
        <f t="shared" si="1"/>
        <v>2971.4</v>
      </c>
      <c r="J13" s="91">
        <v>78920</v>
      </c>
      <c r="K13" s="89">
        <f t="shared" si="13"/>
        <v>75</v>
      </c>
      <c r="L13" s="75">
        <f t="shared" si="2"/>
        <v>588</v>
      </c>
      <c r="M13" s="88">
        <v>35473</v>
      </c>
      <c r="N13" s="89">
        <f t="shared" si="14"/>
        <v>16</v>
      </c>
      <c r="O13" s="89">
        <v>20328</v>
      </c>
      <c r="P13" s="92">
        <f t="shared" si="15"/>
        <v>13</v>
      </c>
      <c r="Q13" s="92">
        <f t="shared" si="4"/>
        <v>29</v>
      </c>
      <c r="R13" s="93">
        <v>51925</v>
      </c>
      <c r="S13" s="92">
        <f t="shared" si="16"/>
        <v>28</v>
      </c>
      <c r="T13" s="102">
        <f t="shared" si="5"/>
        <v>29.559600000000003</v>
      </c>
      <c r="U13" s="100">
        <f t="shared" si="6"/>
        <v>543.29958000000011</v>
      </c>
      <c r="V13" s="88">
        <v>67316</v>
      </c>
      <c r="W13" s="89">
        <f t="shared" si="17"/>
        <v>22</v>
      </c>
      <c r="X13" s="169">
        <f t="shared" si="29"/>
        <v>6255.59</v>
      </c>
      <c r="Y13" s="169">
        <f t="shared" si="7"/>
        <v>2153.174078</v>
      </c>
      <c r="Z13" s="298">
        <f t="shared" si="8"/>
        <v>4384.9184166666664</v>
      </c>
      <c r="AA13" s="170">
        <f t="shared" si="9"/>
        <v>6538.0924946666664</v>
      </c>
      <c r="AB13" s="93">
        <v>6132492</v>
      </c>
      <c r="AC13" s="174">
        <f t="shared" si="18"/>
        <v>7118</v>
      </c>
      <c r="AD13" s="304">
        <v>0.56189999999999996</v>
      </c>
      <c r="AE13" s="140">
        <v>323</v>
      </c>
      <c r="AF13" s="88">
        <v>13339881</v>
      </c>
      <c r="AG13" s="89">
        <f t="shared" si="19"/>
        <v>4110</v>
      </c>
      <c r="AH13" s="94">
        <f t="shared" si="20"/>
        <v>822</v>
      </c>
      <c r="AI13" s="88">
        <v>6196661</v>
      </c>
      <c r="AJ13" s="89">
        <f t="shared" si="21"/>
        <v>1987</v>
      </c>
      <c r="AK13" s="94">
        <f t="shared" si="22"/>
        <v>397.40000000000003</v>
      </c>
      <c r="AL13" s="91">
        <v>122213</v>
      </c>
      <c r="AM13" s="89">
        <f t="shared" si="23"/>
        <v>244</v>
      </c>
      <c r="AN13" s="94">
        <f t="shared" si="24"/>
        <v>48.800000000000004</v>
      </c>
      <c r="AO13" s="91">
        <v>6142</v>
      </c>
      <c r="AP13" s="89">
        <f t="shared" si="30"/>
        <v>10</v>
      </c>
      <c r="AQ13" s="140">
        <f t="shared" si="25"/>
        <v>78.400000000000006</v>
      </c>
      <c r="AR13" s="88">
        <v>2766</v>
      </c>
      <c r="AS13" s="89">
        <f t="shared" si="26"/>
        <v>1</v>
      </c>
      <c r="AT13" s="94">
        <f t="shared" si="10"/>
        <v>7.84</v>
      </c>
      <c r="AU13" s="88">
        <v>117</v>
      </c>
      <c r="AV13" s="89">
        <f t="shared" si="27"/>
        <v>1</v>
      </c>
      <c r="AW13" s="94">
        <f t="shared" si="28"/>
        <v>7.84</v>
      </c>
    </row>
    <row r="14" spans="1:49" s="3" customFormat="1" ht="27.95" customHeight="1" x14ac:dyDescent="0.25">
      <c r="A14" s="98">
        <v>45392</v>
      </c>
      <c r="B14" s="91">
        <v>18982798</v>
      </c>
      <c r="C14" s="89">
        <f t="shared" si="3"/>
        <v>7653</v>
      </c>
      <c r="D14" s="89">
        <v>19908376</v>
      </c>
      <c r="E14" s="89">
        <f t="shared" si="11"/>
        <v>6722</v>
      </c>
      <c r="F14" s="89">
        <v>452938</v>
      </c>
      <c r="G14" s="89">
        <f t="shared" si="12"/>
        <v>138</v>
      </c>
      <c r="H14" s="90">
        <f t="shared" si="0"/>
        <v>14513</v>
      </c>
      <c r="I14" s="109">
        <f t="shared" si="1"/>
        <v>2902.6000000000004</v>
      </c>
      <c r="J14" s="91">
        <v>79013</v>
      </c>
      <c r="K14" s="89">
        <f t="shared" si="13"/>
        <v>93</v>
      </c>
      <c r="L14" s="75">
        <f t="shared" si="2"/>
        <v>729.12</v>
      </c>
      <c r="M14" s="88">
        <v>35490</v>
      </c>
      <c r="N14" s="89">
        <f t="shared" si="14"/>
        <v>17</v>
      </c>
      <c r="O14" s="89">
        <v>20340</v>
      </c>
      <c r="P14" s="92">
        <f>IF(ISBLANK(O14),"0",O14-O13)</f>
        <v>12</v>
      </c>
      <c r="Q14" s="92">
        <f t="shared" si="4"/>
        <v>29</v>
      </c>
      <c r="R14" s="93">
        <v>51953</v>
      </c>
      <c r="S14" s="92">
        <f t="shared" si="16"/>
        <v>28</v>
      </c>
      <c r="T14" s="102">
        <f t="shared" si="5"/>
        <v>29.559600000000003</v>
      </c>
      <c r="U14" s="100">
        <f t="shared" si="6"/>
        <v>543.29958000000011</v>
      </c>
      <c r="V14" s="88">
        <v>67340</v>
      </c>
      <c r="W14" s="89">
        <f t="shared" si="17"/>
        <v>24</v>
      </c>
      <c r="X14" s="169">
        <f t="shared" si="29"/>
        <v>6824.2800000000007</v>
      </c>
      <c r="Y14" s="169">
        <f t="shared" si="7"/>
        <v>2348.9171760000004</v>
      </c>
      <c r="Z14" s="298">
        <f t="shared" si="8"/>
        <v>4384.9184166666664</v>
      </c>
      <c r="AA14" s="170">
        <f t="shared" si="9"/>
        <v>6733.8355926666663</v>
      </c>
      <c r="AB14" s="93">
        <v>6139923</v>
      </c>
      <c r="AC14" s="174">
        <f t="shared" si="18"/>
        <v>7431</v>
      </c>
      <c r="AD14" s="304">
        <v>0.66669999999999996</v>
      </c>
      <c r="AE14" s="140">
        <v>372</v>
      </c>
      <c r="AF14" s="88">
        <v>13343827</v>
      </c>
      <c r="AG14" s="89">
        <f t="shared" si="19"/>
        <v>3946</v>
      </c>
      <c r="AH14" s="94">
        <f t="shared" si="20"/>
        <v>789.2</v>
      </c>
      <c r="AI14" s="88">
        <v>6198638</v>
      </c>
      <c r="AJ14" s="89">
        <f t="shared" si="21"/>
        <v>1977</v>
      </c>
      <c r="AK14" s="94">
        <f t="shared" si="22"/>
        <v>395.40000000000003</v>
      </c>
      <c r="AL14" s="91">
        <v>122486</v>
      </c>
      <c r="AM14" s="89">
        <f t="shared" si="23"/>
        <v>273</v>
      </c>
      <c r="AN14" s="94">
        <f t="shared" si="24"/>
        <v>54.6</v>
      </c>
      <c r="AO14" s="91">
        <v>6150</v>
      </c>
      <c r="AP14" s="89">
        <f t="shared" si="30"/>
        <v>8</v>
      </c>
      <c r="AQ14" s="140">
        <f t="shared" si="25"/>
        <v>62.72</v>
      </c>
      <c r="AR14" s="88">
        <v>2766</v>
      </c>
      <c r="AS14" s="89">
        <f t="shared" si="26"/>
        <v>0</v>
      </c>
      <c r="AT14" s="94">
        <f t="shared" si="10"/>
        <v>0</v>
      </c>
      <c r="AU14" s="88">
        <v>118</v>
      </c>
      <c r="AV14" s="89">
        <f t="shared" si="27"/>
        <v>1</v>
      </c>
      <c r="AW14" s="94">
        <f t="shared" si="28"/>
        <v>7.84</v>
      </c>
    </row>
    <row r="15" spans="1:49" s="3" customFormat="1" ht="27.95" customHeight="1" x14ac:dyDescent="0.25">
      <c r="A15" s="98">
        <v>45393</v>
      </c>
      <c r="B15" s="91">
        <v>18990741</v>
      </c>
      <c r="C15" s="89">
        <f t="shared" si="3"/>
        <v>7943</v>
      </c>
      <c r="D15" s="89">
        <v>19915245</v>
      </c>
      <c r="E15" s="89">
        <f t="shared" si="11"/>
        <v>6869</v>
      </c>
      <c r="F15" s="89">
        <v>453047</v>
      </c>
      <c r="G15" s="89">
        <f t="shared" si="12"/>
        <v>109</v>
      </c>
      <c r="H15" s="90">
        <f t="shared" si="0"/>
        <v>14921</v>
      </c>
      <c r="I15" s="109">
        <f t="shared" si="1"/>
        <v>2984.2000000000003</v>
      </c>
      <c r="J15" s="91">
        <v>79115</v>
      </c>
      <c r="K15" s="89">
        <f t="shared" si="13"/>
        <v>102</v>
      </c>
      <c r="L15" s="75">
        <f t="shared" si="2"/>
        <v>799.68</v>
      </c>
      <c r="M15" s="88">
        <v>35507</v>
      </c>
      <c r="N15" s="89">
        <f t="shared" si="14"/>
        <v>17</v>
      </c>
      <c r="O15" s="89">
        <v>20351</v>
      </c>
      <c r="P15" s="92">
        <f t="shared" si="15"/>
        <v>11</v>
      </c>
      <c r="Q15" s="92">
        <f t="shared" si="4"/>
        <v>28</v>
      </c>
      <c r="R15" s="93">
        <v>51982</v>
      </c>
      <c r="S15" s="92">
        <f t="shared" si="16"/>
        <v>29</v>
      </c>
      <c r="T15" s="102">
        <f t="shared" si="5"/>
        <v>30.615300000000001</v>
      </c>
      <c r="U15" s="100">
        <f t="shared" si="6"/>
        <v>554.9650650000001</v>
      </c>
      <c r="V15" s="88">
        <v>67365</v>
      </c>
      <c r="W15" s="89">
        <f t="shared" si="17"/>
        <v>25</v>
      </c>
      <c r="X15" s="169">
        <f t="shared" si="29"/>
        <v>7108.6250000000009</v>
      </c>
      <c r="Y15" s="169">
        <f t="shared" si="7"/>
        <v>2446.7887250000003</v>
      </c>
      <c r="Z15" s="298">
        <f t="shared" si="8"/>
        <v>4384.9184166666664</v>
      </c>
      <c r="AA15" s="170">
        <f t="shared" si="9"/>
        <v>6831.7071416666668</v>
      </c>
      <c r="AB15" s="93">
        <v>6148245</v>
      </c>
      <c r="AC15" s="174">
        <f t="shared" si="18"/>
        <v>8322</v>
      </c>
      <c r="AD15" s="304">
        <v>0.86980000000000002</v>
      </c>
      <c r="AE15" s="140">
        <v>480</v>
      </c>
      <c r="AF15" s="88">
        <v>13347892</v>
      </c>
      <c r="AG15" s="89">
        <f t="shared" si="19"/>
        <v>4065</v>
      </c>
      <c r="AH15" s="94">
        <f t="shared" si="20"/>
        <v>813</v>
      </c>
      <c r="AI15" s="88">
        <v>6200742</v>
      </c>
      <c r="AJ15" s="89">
        <f t="shared" si="21"/>
        <v>2104</v>
      </c>
      <c r="AK15" s="94">
        <f t="shared" si="22"/>
        <v>420.8</v>
      </c>
      <c r="AL15" s="91">
        <v>122811</v>
      </c>
      <c r="AM15" s="89">
        <f t="shared" si="23"/>
        <v>325</v>
      </c>
      <c r="AN15" s="94">
        <f t="shared" si="24"/>
        <v>65</v>
      </c>
      <c r="AO15" s="91">
        <v>6157</v>
      </c>
      <c r="AP15" s="89">
        <f t="shared" si="30"/>
        <v>7</v>
      </c>
      <c r="AQ15" s="140">
        <f t="shared" si="25"/>
        <v>54.879999999999995</v>
      </c>
      <c r="AR15" s="88">
        <v>2768</v>
      </c>
      <c r="AS15" s="89">
        <f t="shared" si="26"/>
        <v>2</v>
      </c>
      <c r="AT15" s="94">
        <f t="shared" si="10"/>
        <v>15.68</v>
      </c>
      <c r="AU15" s="88">
        <v>119</v>
      </c>
      <c r="AV15" s="89">
        <f t="shared" si="27"/>
        <v>1</v>
      </c>
      <c r="AW15" s="94">
        <f t="shared" si="28"/>
        <v>7.84</v>
      </c>
    </row>
    <row r="16" spans="1:49" s="3" customFormat="1" ht="27.95" customHeight="1" x14ac:dyDescent="0.25">
      <c r="A16" s="98">
        <v>45394</v>
      </c>
      <c r="B16" s="91">
        <v>18998703</v>
      </c>
      <c r="C16" s="89">
        <f t="shared" si="3"/>
        <v>7962</v>
      </c>
      <c r="D16" s="89">
        <v>19922172</v>
      </c>
      <c r="E16" s="89">
        <f t="shared" si="11"/>
        <v>6927</v>
      </c>
      <c r="F16" s="89">
        <v>453183</v>
      </c>
      <c r="G16" s="89">
        <f t="shared" si="12"/>
        <v>136</v>
      </c>
      <c r="H16" s="90">
        <f t="shared" si="0"/>
        <v>15025</v>
      </c>
      <c r="I16" s="109">
        <f t="shared" si="1"/>
        <v>3005</v>
      </c>
      <c r="J16" s="91">
        <v>79228</v>
      </c>
      <c r="K16" s="89">
        <f t="shared" si="13"/>
        <v>113</v>
      </c>
      <c r="L16" s="75">
        <f t="shared" si="2"/>
        <v>885.92</v>
      </c>
      <c r="M16" s="88">
        <v>35525</v>
      </c>
      <c r="N16" s="89">
        <f t="shared" si="14"/>
        <v>18</v>
      </c>
      <c r="O16" s="89">
        <v>20365</v>
      </c>
      <c r="P16" s="92">
        <f t="shared" si="15"/>
        <v>14</v>
      </c>
      <c r="Q16" s="92">
        <f t="shared" si="4"/>
        <v>32</v>
      </c>
      <c r="R16" s="93">
        <v>52013</v>
      </c>
      <c r="S16" s="92">
        <f t="shared" si="16"/>
        <v>31</v>
      </c>
      <c r="T16" s="102">
        <f t="shared" si="5"/>
        <v>32.726700000000001</v>
      </c>
      <c r="U16" s="100">
        <f t="shared" si="6"/>
        <v>578.29603500000007</v>
      </c>
      <c r="V16" s="88">
        <v>67391</v>
      </c>
      <c r="W16" s="89">
        <f t="shared" si="17"/>
        <v>26</v>
      </c>
      <c r="X16" s="169">
        <f t="shared" si="29"/>
        <v>7392.9700000000012</v>
      </c>
      <c r="Y16" s="169">
        <f t="shared" si="7"/>
        <v>2544.6602740000003</v>
      </c>
      <c r="Z16" s="298">
        <f t="shared" si="8"/>
        <v>4384.9184166666664</v>
      </c>
      <c r="AA16" s="170">
        <f t="shared" si="9"/>
        <v>6929.5786906666672</v>
      </c>
      <c r="AB16" s="93">
        <v>6156693</v>
      </c>
      <c r="AC16" s="174">
        <f t="shared" si="18"/>
        <v>8448</v>
      </c>
      <c r="AD16" s="304">
        <v>0.73329999999999995</v>
      </c>
      <c r="AE16" s="140">
        <v>403</v>
      </c>
      <c r="AF16" s="88">
        <v>13352072</v>
      </c>
      <c r="AG16" s="89">
        <f t="shared" si="19"/>
        <v>4180</v>
      </c>
      <c r="AH16" s="94">
        <f t="shared" si="20"/>
        <v>836</v>
      </c>
      <c r="AI16" s="88">
        <v>6202839</v>
      </c>
      <c r="AJ16" s="89">
        <f t="shared" si="21"/>
        <v>2097</v>
      </c>
      <c r="AK16" s="94">
        <f t="shared" si="22"/>
        <v>419.40000000000003</v>
      </c>
      <c r="AL16" s="91">
        <v>123157</v>
      </c>
      <c r="AM16" s="89">
        <f t="shared" si="23"/>
        <v>346</v>
      </c>
      <c r="AN16" s="94">
        <f t="shared" si="24"/>
        <v>69.2</v>
      </c>
      <c r="AO16" s="91">
        <v>6166</v>
      </c>
      <c r="AP16" s="89">
        <f t="shared" si="30"/>
        <v>9</v>
      </c>
      <c r="AQ16" s="140">
        <f t="shared" si="25"/>
        <v>70.56</v>
      </c>
      <c r="AR16" s="88">
        <v>2770</v>
      </c>
      <c r="AS16" s="89">
        <f t="shared" si="26"/>
        <v>2</v>
      </c>
      <c r="AT16" s="94">
        <f t="shared" si="10"/>
        <v>15.68</v>
      </c>
      <c r="AU16" s="88">
        <v>120</v>
      </c>
      <c r="AV16" s="89">
        <f t="shared" si="27"/>
        <v>1</v>
      </c>
      <c r="AW16" s="94">
        <f t="shared" si="28"/>
        <v>7.84</v>
      </c>
    </row>
    <row r="17" spans="1:49" s="3" customFormat="1" ht="27.95" customHeight="1" x14ac:dyDescent="0.25">
      <c r="A17" s="98">
        <v>45395</v>
      </c>
      <c r="B17" s="91">
        <v>19006284</v>
      </c>
      <c r="C17" s="89">
        <f t="shared" si="3"/>
        <v>7581</v>
      </c>
      <c r="D17" s="89">
        <v>19928872</v>
      </c>
      <c r="E17" s="89">
        <f t="shared" si="11"/>
        <v>6700</v>
      </c>
      <c r="F17" s="89">
        <v>453294</v>
      </c>
      <c r="G17" s="89">
        <f t="shared" si="12"/>
        <v>111</v>
      </c>
      <c r="H17" s="90">
        <f t="shared" si="0"/>
        <v>14392</v>
      </c>
      <c r="I17" s="109">
        <f t="shared" si="1"/>
        <v>2878.4</v>
      </c>
      <c r="J17" s="91">
        <v>79330</v>
      </c>
      <c r="K17" s="89">
        <f t="shared" si="13"/>
        <v>102</v>
      </c>
      <c r="L17" s="75">
        <f t="shared" si="2"/>
        <v>799.68</v>
      </c>
      <c r="M17" s="88">
        <v>35544</v>
      </c>
      <c r="N17" s="89">
        <f t="shared" si="14"/>
        <v>19</v>
      </c>
      <c r="O17" s="89">
        <v>20377</v>
      </c>
      <c r="P17" s="92">
        <f t="shared" si="15"/>
        <v>12</v>
      </c>
      <c r="Q17" s="92">
        <f t="shared" si="4"/>
        <v>31</v>
      </c>
      <c r="R17" s="93">
        <v>52045</v>
      </c>
      <c r="S17" s="92">
        <f t="shared" si="16"/>
        <v>32</v>
      </c>
      <c r="T17" s="102">
        <f t="shared" si="5"/>
        <v>33.782400000000003</v>
      </c>
      <c r="U17" s="100">
        <f t="shared" si="6"/>
        <v>589.96152000000006</v>
      </c>
      <c r="V17" s="88">
        <v>67413</v>
      </c>
      <c r="W17" s="89">
        <f t="shared" si="17"/>
        <v>22</v>
      </c>
      <c r="X17" s="169">
        <f t="shared" si="29"/>
        <v>6255.59</v>
      </c>
      <c r="Y17" s="169">
        <f t="shared" si="7"/>
        <v>2153.174078</v>
      </c>
      <c r="Z17" s="298">
        <f t="shared" si="8"/>
        <v>4384.9184166666664</v>
      </c>
      <c r="AA17" s="170">
        <f t="shared" si="9"/>
        <v>6538.0924946666664</v>
      </c>
      <c r="AB17" s="93">
        <v>6164062</v>
      </c>
      <c r="AC17" s="174">
        <f t="shared" si="18"/>
        <v>7369</v>
      </c>
      <c r="AD17" s="304">
        <v>0.43169999999999997</v>
      </c>
      <c r="AE17" s="140">
        <v>217</v>
      </c>
      <c r="AF17" s="88">
        <v>13356161</v>
      </c>
      <c r="AG17" s="89">
        <f t="shared" si="19"/>
        <v>4089</v>
      </c>
      <c r="AH17" s="94">
        <f t="shared" si="20"/>
        <v>817.80000000000007</v>
      </c>
      <c r="AI17" s="88">
        <v>6204852</v>
      </c>
      <c r="AJ17" s="89">
        <f t="shared" si="21"/>
        <v>2013</v>
      </c>
      <c r="AK17" s="94">
        <f t="shared" si="22"/>
        <v>402.6</v>
      </c>
      <c r="AL17" s="91">
        <v>123417</v>
      </c>
      <c r="AM17" s="89">
        <f t="shared" si="23"/>
        <v>260</v>
      </c>
      <c r="AN17" s="94">
        <f t="shared" si="24"/>
        <v>52</v>
      </c>
      <c r="AO17" s="91">
        <v>6175</v>
      </c>
      <c r="AP17" s="89">
        <f t="shared" si="30"/>
        <v>9</v>
      </c>
      <c r="AQ17" s="140">
        <f t="shared" si="25"/>
        <v>70.56</v>
      </c>
      <c r="AR17" s="88">
        <v>2771</v>
      </c>
      <c r="AS17" s="89">
        <f t="shared" si="26"/>
        <v>1</v>
      </c>
      <c r="AT17" s="94">
        <f t="shared" si="10"/>
        <v>7.84</v>
      </c>
      <c r="AU17" s="88">
        <v>121</v>
      </c>
      <c r="AV17" s="89">
        <f t="shared" si="27"/>
        <v>1</v>
      </c>
      <c r="AW17" s="94">
        <f t="shared" si="28"/>
        <v>7.84</v>
      </c>
    </row>
    <row r="18" spans="1:49" s="3" customFormat="1" ht="27.95" customHeight="1" x14ac:dyDescent="0.25">
      <c r="A18" s="98">
        <v>45396</v>
      </c>
      <c r="B18" s="91">
        <v>19013914</v>
      </c>
      <c r="C18" s="89">
        <f t="shared" si="3"/>
        <v>7630</v>
      </c>
      <c r="D18" s="89">
        <v>19935323</v>
      </c>
      <c r="E18" s="89">
        <f t="shared" si="11"/>
        <v>6451</v>
      </c>
      <c r="F18" s="89">
        <v>453450</v>
      </c>
      <c r="G18" s="89">
        <f t="shared" si="12"/>
        <v>156</v>
      </c>
      <c r="H18" s="90">
        <f t="shared" si="0"/>
        <v>14237</v>
      </c>
      <c r="I18" s="109">
        <f t="shared" si="1"/>
        <v>2847.4</v>
      </c>
      <c r="J18" s="91">
        <v>79406</v>
      </c>
      <c r="K18" s="89">
        <f t="shared" si="13"/>
        <v>76</v>
      </c>
      <c r="L18" s="75">
        <f t="shared" si="2"/>
        <v>595.84</v>
      </c>
      <c r="M18" s="88">
        <v>35560</v>
      </c>
      <c r="N18" s="89">
        <f t="shared" si="14"/>
        <v>16</v>
      </c>
      <c r="O18" s="89">
        <v>20389</v>
      </c>
      <c r="P18" s="92">
        <f t="shared" si="15"/>
        <v>12</v>
      </c>
      <c r="Q18" s="92">
        <f t="shared" si="4"/>
        <v>28</v>
      </c>
      <c r="R18" s="93">
        <v>52070</v>
      </c>
      <c r="S18" s="92">
        <f t="shared" si="16"/>
        <v>25</v>
      </c>
      <c r="T18" s="102">
        <f t="shared" si="5"/>
        <v>26.392500000000002</v>
      </c>
      <c r="U18" s="100">
        <f t="shared" si="6"/>
        <v>508.30312500000002</v>
      </c>
      <c r="V18" s="88">
        <v>67435</v>
      </c>
      <c r="W18" s="89">
        <f t="shared" si="17"/>
        <v>22</v>
      </c>
      <c r="X18" s="169">
        <f t="shared" si="29"/>
        <v>6255.59</v>
      </c>
      <c r="Y18" s="169">
        <f t="shared" si="7"/>
        <v>2153.174078</v>
      </c>
      <c r="Z18" s="298">
        <f t="shared" si="8"/>
        <v>4384.9184166666664</v>
      </c>
      <c r="AA18" s="170">
        <f t="shared" si="9"/>
        <v>6538.0924946666664</v>
      </c>
      <c r="AB18" s="93">
        <v>6171102</v>
      </c>
      <c r="AC18" s="174">
        <f t="shared" si="18"/>
        <v>7040</v>
      </c>
      <c r="AD18" s="304">
        <v>0.49209999999999998</v>
      </c>
      <c r="AE18" s="140">
        <v>208</v>
      </c>
      <c r="AF18" s="88">
        <v>13360335</v>
      </c>
      <c r="AG18" s="89">
        <f t="shared" si="19"/>
        <v>4174</v>
      </c>
      <c r="AH18" s="94">
        <f t="shared" si="20"/>
        <v>834.80000000000007</v>
      </c>
      <c r="AI18" s="88">
        <v>6206838</v>
      </c>
      <c r="AJ18" s="89">
        <f t="shared" si="21"/>
        <v>1986</v>
      </c>
      <c r="AK18" s="94">
        <f t="shared" si="22"/>
        <v>397.20000000000005</v>
      </c>
      <c r="AL18" s="91">
        <v>123658</v>
      </c>
      <c r="AM18" s="89">
        <f t="shared" si="23"/>
        <v>241</v>
      </c>
      <c r="AN18" s="94">
        <f t="shared" si="24"/>
        <v>48.2</v>
      </c>
      <c r="AO18" s="91">
        <v>6182</v>
      </c>
      <c r="AP18" s="89">
        <f t="shared" si="30"/>
        <v>7</v>
      </c>
      <c r="AQ18" s="140">
        <f t="shared" si="25"/>
        <v>54.879999999999995</v>
      </c>
      <c r="AR18" s="88">
        <v>2773</v>
      </c>
      <c r="AS18" s="89">
        <f t="shared" si="26"/>
        <v>2</v>
      </c>
      <c r="AT18" s="94">
        <f t="shared" si="10"/>
        <v>15.68</v>
      </c>
      <c r="AU18" s="88">
        <v>122</v>
      </c>
      <c r="AV18" s="89">
        <f t="shared" si="27"/>
        <v>1</v>
      </c>
      <c r="AW18" s="94">
        <f t="shared" si="28"/>
        <v>7.84</v>
      </c>
    </row>
    <row r="19" spans="1:49" s="3" customFormat="1" ht="27.95" customHeight="1" x14ac:dyDescent="0.25">
      <c r="A19" s="98">
        <v>45397</v>
      </c>
      <c r="B19" s="91">
        <v>19021565</v>
      </c>
      <c r="C19" s="89">
        <f t="shared" si="3"/>
        <v>7651</v>
      </c>
      <c r="D19" s="89">
        <v>19941976</v>
      </c>
      <c r="E19" s="89">
        <f t="shared" si="11"/>
        <v>6653</v>
      </c>
      <c r="F19" s="89">
        <v>453662</v>
      </c>
      <c r="G19" s="89">
        <f t="shared" si="12"/>
        <v>212</v>
      </c>
      <c r="H19" s="90">
        <f t="shared" si="0"/>
        <v>14516</v>
      </c>
      <c r="I19" s="109">
        <f t="shared" si="1"/>
        <v>2903.2000000000003</v>
      </c>
      <c r="J19" s="91">
        <v>79493</v>
      </c>
      <c r="K19" s="89">
        <f t="shared" si="13"/>
        <v>87</v>
      </c>
      <c r="L19" s="75">
        <f t="shared" si="2"/>
        <v>682.08</v>
      </c>
      <c r="M19" s="88">
        <v>35579</v>
      </c>
      <c r="N19" s="89">
        <f t="shared" si="14"/>
        <v>19</v>
      </c>
      <c r="O19" s="89">
        <v>20402</v>
      </c>
      <c r="P19" s="92">
        <f t="shared" si="15"/>
        <v>13</v>
      </c>
      <c r="Q19" s="92">
        <f t="shared" si="4"/>
        <v>32</v>
      </c>
      <c r="R19" s="93">
        <v>52102</v>
      </c>
      <c r="S19" s="92">
        <f t="shared" si="16"/>
        <v>32</v>
      </c>
      <c r="T19" s="102">
        <f t="shared" si="5"/>
        <v>33.782400000000003</v>
      </c>
      <c r="U19" s="100">
        <f t="shared" si="6"/>
        <v>589.96152000000006</v>
      </c>
      <c r="V19" s="88">
        <v>67458</v>
      </c>
      <c r="W19" s="89">
        <f t="shared" si="17"/>
        <v>23</v>
      </c>
      <c r="X19" s="169">
        <f t="shared" si="29"/>
        <v>6539.9350000000004</v>
      </c>
      <c r="Y19" s="169">
        <f t="shared" si="7"/>
        <v>2251.045627</v>
      </c>
      <c r="Z19" s="298">
        <f t="shared" si="8"/>
        <v>4384.9184166666664</v>
      </c>
      <c r="AA19" s="170">
        <f t="shared" si="9"/>
        <v>6635.9640436666668</v>
      </c>
      <c r="AB19" s="93">
        <v>6178926</v>
      </c>
      <c r="AC19" s="174">
        <f t="shared" si="18"/>
        <v>7824</v>
      </c>
      <c r="AD19" s="304">
        <v>1</v>
      </c>
      <c r="AE19" s="140">
        <v>363</v>
      </c>
      <c r="AF19" s="88">
        <v>13365508</v>
      </c>
      <c r="AG19" s="89">
        <f t="shared" si="19"/>
        <v>5173</v>
      </c>
      <c r="AH19" s="94">
        <f t="shared" si="20"/>
        <v>1034.6000000000001</v>
      </c>
      <c r="AI19" s="88">
        <v>6208976</v>
      </c>
      <c r="AJ19" s="89">
        <f t="shared" si="21"/>
        <v>2138</v>
      </c>
      <c r="AK19" s="94">
        <f t="shared" si="22"/>
        <v>427.6</v>
      </c>
      <c r="AL19" s="91">
        <v>123929</v>
      </c>
      <c r="AM19" s="89">
        <f t="shared" si="23"/>
        <v>271</v>
      </c>
      <c r="AN19" s="94">
        <f t="shared" si="24"/>
        <v>54.2</v>
      </c>
      <c r="AO19" s="91">
        <v>6192</v>
      </c>
      <c r="AP19" s="89">
        <f t="shared" si="30"/>
        <v>10</v>
      </c>
      <c r="AQ19" s="140">
        <f t="shared" si="25"/>
        <v>78.400000000000006</v>
      </c>
      <c r="AR19" s="88">
        <v>2774</v>
      </c>
      <c r="AS19" s="89">
        <f t="shared" si="26"/>
        <v>1</v>
      </c>
      <c r="AT19" s="94">
        <f t="shared" si="10"/>
        <v>7.84</v>
      </c>
      <c r="AU19" s="88">
        <v>123</v>
      </c>
      <c r="AV19" s="89">
        <f t="shared" si="27"/>
        <v>1</v>
      </c>
      <c r="AW19" s="94">
        <f t="shared" si="28"/>
        <v>7.84</v>
      </c>
    </row>
    <row r="20" spans="1:49" s="3" customFormat="1" ht="27.95" customHeight="1" x14ac:dyDescent="0.25">
      <c r="A20" s="98">
        <v>45398</v>
      </c>
      <c r="B20" s="91">
        <v>19029495</v>
      </c>
      <c r="C20" s="89">
        <f t="shared" si="3"/>
        <v>7930</v>
      </c>
      <c r="D20" s="89">
        <v>19948935</v>
      </c>
      <c r="E20" s="89">
        <f t="shared" si="11"/>
        <v>6959</v>
      </c>
      <c r="F20" s="89">
        <v>453714</v>
      </c>
      <c r="G20" s="89">
        <f t="shared" si="12"/>
        <v>52</v>
      </c>
      <c r="H20" s="90">
        <f t="shared" si="0"/>
        <v>14941</v>
      </c>
      <c r="I20" s="109">
        <f t="shared" si="1"/>
        <v>2988.2000000000003</v>
      </c>
      <c r="J20" s="91">
        <v>79590</v>
      </c>
      <c r="K20" s="89">
        <f t="shared" si="13"/>
        <v>97</v>
      </c>
      <c r="L20" s="75">
        <f t="shared" si="2"/>
        <v>760.48</v>
      </c>
      <c r="M20" s="88">
        <v>35599</v>
      </c>
      <c r="N20" s="89">
        <f t="shared" si="14"/>
        <v>20</v>
      </c>
      <c r="O20" s="89">
        <v>20418</v>
      </c>
      <c r="P20" s="92">
        <f t="shared" si="15"/>
        <v>16</v>
      </c>
      <c r="Q20" s="92">
        <f t="shared" si="4"/>
        <v>36</v>
      </c>
      <c r="R20" s="93">
        <v>52136</v>
      </c>
      <c r="S20" s="92">
        <f t="shared" si="16"/>
        <v>34</v>
      </c>
      <c r="T20" s="102">
        <f t="shared" si="5"/>
        <v>35.893800000000006</v>
      </c>
      <c r="U20" s="100">
        <f t="shared" si="6"/>
        <v>613.29249000000004</v>
      </c>
      <c r="V20" s="88">
        <v>67481</v>
      </c>
      <c r="W20" s="89">
        <f t="shared" si="17"/>
        <v>23</v>
      </c>
      <c r="X20" s="169">
        <f t="shared" si="29"/>
        <v>6539.9350000000004</v>
      </c>
      <c r="Y20" s="169">
        <f t="shared" si="7"/>
        <v>2251.045627</v>
      </c>
      <c r="Z20" s="298">
        <f t="shared" si="8"/>
        <v>4384.9184166666664</v>
      </c>
      <c r="AA20" s="170">
        <f t="shared" si="9"/>
        <v>6635.9640436666668</v>
      </c>
      <c r="AB20" s="93">
        <v>6186601</v>
      </c>
      <c r="AC20" s="174">
        <f t="shared" si="18"/>
        <v>7675</v>
      </c>
      <c r="AD20" s="304">
        <v>0.97460000000000002</v>
      </c>
      <c r="AE20" s="140">
        <v>346</v>
      </c>
      <c r="AF20" s="88">
        <v>13370369</v>
      </c>
      <c r="AG20" s="89">
        <f t="shared" si="19"/>
        <v>4861</v>
      </c>
      <c r="AH20" s="94">
        <f t="shared" si="20"/>
        <v>972.2</v>
      </c>
      <c r="AI20" s="88">
        <v>6211171</v>
      </c>
      <c r="AJ20" s="89">
        <f t="shared" si="21"/>
        <v>2195</v>
      </c>
      <c r="AK20" s="94">
        <f t="shared" si="22"/>
        <v>439</v>
      </c>
      <c r="AL20" s="91">
        <v>124205</v>
      </c>
      <c r="AM20" s="89">
        <f t="shared" si="23"/>
        <v>276</v>
      </c>
      <c r="AN20" s="94">
        <f t="shared" si="24"/>
        <v>55.2</v>
      </c>
      <c r="AO20" s="91">
        <v>6201</v>
      </c>
      <c r="AP20" s="89">
        <f t="shared" si="30"/>
        <v>9</v>
      </c>
      <c r="AQ20" s="140">
        <f t="shared" si="25"/>
        <v>70.56</v>
      </c>
      <c r="AR20" s="88">
        <v>2775</v>
      </c>
      <c r="AS20" s="89">
        <f t="shared" si="26"/>
        <v>1</v>
      </c>
      <c r="AT20" s="94">
        <f t="shared" si="10"/>
        <v>7.84</v>
      </c>
      <c r="AU20" s="88">
        <v>124</v>
      </c>
      <c r="AV20" s="89">
        <f t="shared" si="27"/>
        <v>1</v>
      </c>
      <c r="AW20" s="94">
        <f t="shared" si="28"/>
        <v>7.84</v>
      </c>
    </row>
    <row r="21" spans="1:49" s="3" customFormat="1" ht="27.95" customHeight="1" x14ac:dyDescent="0.25">
      <c r="A21" s="98">
        <v>45399</v>
      </c>
      <c r="B21" s="91">
        <v>19037196</v>
      </c>
      <c r="C21" s="89">
        <f t="shared" si="3"/>
        <v>7701</v>
      </c>
      <c r="D21" s="89">
        <v>19955882</v>
      </c>
      <c r="E21" s="89">
        <f t="shared" si="11"/>
        <v>6947</v>
      </c>
      <c r="F21" s="89">
        <v>453821</v>
      </c>
      <c r="G21" s="89">
        <f t="shared" si="12"/>
        <v>107</v>
      </c>
      <c r="H21" s="90">
        <f t="shared" si="0"/>
        <v>14755</v>
      </c>
      <c r="I21" s="109">
        <f t="shared" si="1"/>
        <v>2951</v>
      </c>
      <c r="J21" s="91">
        <v>79691</v>
      </c>
      <c r="K21" s="89">
        <f t="shared" si="13"/>
        <v>101</v>
      </c>
      <c r="L21" s="75">
        <f t="shared" si="2"/>
        <v>791.84</v>
      </c>
      <c r="M21" s="88">
        <v>35618</v>
      </c>
      <c r="N21" s="89">
        <f t="shared" si="14"/>
        <v>19</v>
      </c>
      <c r="O21" s="89">
        <v>20434</v>
      </c>
      <c r="P21" s="92">
        <f t="shared" si="15"/>
        <v>16</v>
      </c>
      <c r="Q21" s="92">
        <f t="shared" si="4"/>
        <v>35</v>
      </c>
      <c r="R21" s="93">
        <v>52170</v>
      </c>
      <c r="S21" s="92">
        <f t="shared" si="16"/>
        <v>34</v>
      </c>
      <c r="T21" s="102">
        <f t="shared" si="5"/>
        <v>35.893800000000006</v>
      </c>
      <c r="U21" s="100">
        <f t="shared" si="6"/>
        <v>613.29249000000004</v>
      </c>
      <c r="V21" s="88">
        <v>67502</v>
      </c>
      <c r="W21" s="89">
        <f t="shared" si="17"/>
        <v>21</v>
      </c>
      <c r="X21" s="169">
        <f t="shared" si="29"/>
        <v>5971.2450000000008</v>
      </c>
      <c r="Y21" s="169">
        <f t="shared" si="7"/>
        <v>2055.3025290000005</v>
      </c>
      <c r="Z21" s="298">
        <f t="shared" si="8"/>
        <v>4384.9184166666664</v>
      </c>
      <c r="AA21" s="170">
        <f t="shared" si="9"/>
        <v>6440.2209456666669</v>
      </c>
      <c r="AB21" s="93">
        <v>6193748</v>
      </c>
      <c r="AC21" s="174">
        <f t="shared" si="18"/>
        <v>7147</v>
      </c>
      <c r="AD21" s="304">
        <v>0.94599999999999995</v>
      </c>
      <c r="AE21" s="140">
        <v>330</v>
      </c>
      <c r="AF21" s="88">
        <v>13375314</v>
      </c>
      <c r="AG21" s="89">
        <f t="shared" si="19"/>
        <v>4945</v>
      </c>
      <c r="AH21" s="94">
        <f t="shared" si="20"/>
        <v>989</v>
      </c>
      <c r="AI21" s="88">
        <v>6213365</v>
      </c>
      <c r="AJ21" s="89">
        <f t="shared" si="21"/>
        <v>2194</v>
      </c>
      <c r="AK21" s="94">
        <f t="shared" si="22"/>
        <v>438.8</v>
      </c>
      <c r="AL21" s="91">
        <v>124454</v>
      </c>
      <c r="AM21" s="89">
        <f t="shared" si="23"/>
        <v>249</v>
      </c>
      <c r="AN21" s="94">
        <f t="shared" si="24"/>
        <v>49.800000000000004</v>
      </c>
      <c r="AO21" s="91">
        <v>6211</v>
      </c>
      <c r="AP21" s="89">
        <f t="shared" si="30"/>
        <v>10</v>
      </c>
      <c r="AQ21" s="140">
        <f t="shared" si="25"/>
        <v>78.400000000000006</v>
      </c>
      <c r="AR21" s="88">
        <v>2776</v>
      </c>
      <c r="AS21" s="89">
        <f t="shared" si="26"/>
        <v>1</v>
      </c>
      <c r="AT21" s="94">
        <f t="shared" si="10"/>
        <v>7.84</v>
      </c>
      <c r="AU21" s="88">
        <v>125</v>
      </c>
      <c r="AV21" s="89">
        <f t="shared" si="27"/>
        <v>1</v>
      </c>
      <c r="AW21" s="94">
        <f t="shared" si="28"/>
        <v>7.84</v>
      </c>
    </row>
    <row r="22" spans="1:49" s="3" customFormat="1" ht="27.95" customHeight="1" x14ac:dyDescent="0.25">
      <c r="A22" s="98">
        <v>45400</v>
      </c>
      <c r="B22" s="91">
        <v>19044922</v>
      </c>
      <c r="C22" s="89">
        <f t="shared" si="3"/>
        <v>7726</v>
      </c>
      <c r="D22" s="89">
        <v>19962854</v>
      </c>
      <c r="E22" s="89">
        <f t="shared" si="11"/>
        <v>6972</v>
      </c>
      <c r="F22" s="89">
        <v>453956</v>
      </c>
      <c r="G22" s="89">
        <f t="shared" si="12"/>
        <v>135</v>
      </c>
      <c r="H22" s="90">
        <f t="shared" si="0"/>
        <v>14833</v>
      </c>
      <c r="I22" s="109">
        <f t="shared" si="1"/>
        <v>2966.6000000000004</v>
      </c>
      <c r="J22" s="91">
        <v>79787</v>
      </c>
      <c r="K22" s="89">
        <f t="shared" si="13"/>
        <v>96</v>
      </c>
      <c r="L22" s="75">
        <f t="shared" si="2"/>
        <v>752.64</v>
      </c>
      <c r="M22" s="88">
        <v>35636</v>
      </c>
      <c r="N22" s="89">
        <f t="shared" si="14"/>
        <v>18</v>
      </c>
      <c r="O22" s="89">
        <v>20448</v>
      </c>
      <c r="P22" s="92">
        <f t="shared" si="15"/>
        <v>14</v>
      </c>
      <c r="Q22" s="92">
        <f t="shared" si="4"/>
        <v>32</v>
      </c>
      <c r="R22" s="93">
        <v>52201</v>
      </c>
      <c r="S22" s="92">
        <f t="shared" si="16"/>
        <v>31</v>
      </c>
      <c r="T22" s="102">
        <f t="shared" si="5"/>
        <v>32.726700000000001</v>
      </c>
      <c r="U22" s="100">
        <f t="shared" si="6"/>
        <v>578.29603500000007</v>
      </c>
      <c r="V22" s="88">
        <v>67523</v>
      </c>
      <c r="W22" s="89">
        <f t="shared" si="17"/>
        <v>21</v>
      </c>
      <c r="X22" s="169">
        <f t="shared" si="29"/>
        <v>5971.2450000000008</v>
      </c>
      <c r="Y22" s="169">
        <f t="shared" si="7"/>
        <v>2055.3025290000005</v>
      </c>
      <c r="Z22" s="298">
        <f t="shared" si="8"/>
        <v>4384.9184166666664</v>
      </c>
      <c r="AA22" s="170">
        <f t="shared" si="9"/>
        <v>6440.2209456666669</v>
      </c>
      <c r="AB22" s="93">
        <v>6201092</v>
      </c>
      <c r="AC22" s="174">
        <f t="shared" si="18"/>
        <v>7344</v>
      </c>
      <c r="AD22" s="304">
        <v>0.77459999999999996</v>
      </c>
      <c r="AE22" s="140">
        <v>296</v>
      </c>
      <c r="AF22" s="88">
        <v>13380515</v>
      </c>
      <c r="AG22" s="89">
        <f t="shared" si="19"/>
        <v>5201</v>
      </c>
      <c r="AH22" s="94">
        <f t="shared" si="20"/>
        <v>1040.2</v>
      </c>
      <c r="AI22" s="88">
        <v>6215546</v>
      </c>
      <c r="AJ22" s="89">
        <f t="shared" si="21"/>
        <v>2181</v>
      </c>
      <c r="AK22" s="94">
        <f t="shared" si="22"/>
        <v>436.20000000000005</v>
      </c>
      <c r="AL22" s="91">
        <v>124700</v>
      </c>
      <c r="AM22" s="89">
        <f t="shared" si="23"/>
        <v>246</v>
      </c>
      <c r="AN22" s="94">
        <f t="shared" si="24"/>
        <v>49.2</v>
      </c>
      <c r="AO22" s="91">
        <v>6221</v>
      </c>
      <c r="AP22" s="89">
        <f t="shared" si="30"/>
        <v>10</v>
      </c>
      <c r="AQ22" s="140">
        <f t="shared" si="25"/>
        <v>78.400000000000006</v>
      </c>
      <c r="AR22" s="88">
        <v>2777</v>
      </c>
      <c r="AS22" s="89">
        <f t="shared" si="26"/>
        <v>1</v>
      </c>
      <c r="AT22" s="94">
        <f t="shared" si="10"/>
        <v>7.84</v>
      </c>
      <c r="AU22" s="88">
        <v>126</v>
      </c>
      <c r="AV22" s="89">
        <f t="shared" si="27"/>
        <v>1</v>
      </c>
      <c r="AW22" s="94">
        <f t="shared" si="28"/>
        <v>7.84</v>
      </c>
    </row>
    <row r="23" spans="1:49" s="3" customFormat="1" ht="27.95" customHeight="1" x14ac:dyDescent="0.25">
      <c r="A23" s="98">
        <v>45401</v>
      </c>
      <c r="B23" s="91">
        <v>19052540</v>
      </c>
      <c r="C23" s="89">
        <f t="shared" si="3"/>
        <v>7618</v>
      </c>
      <c r="D23" s="89">
        <v>19969575</v>
      </c>
      <c r="E23" s="89">
        <f t="shared" si="11"/>
        <v>6721</v>
      </c>
      <c r="F23" s="89">
        <v>454087</v>
      </c>
      <c r="G23" s="89">
        <f t="shared" si="12"/>
        <v>131</v>
      </c>
      <c r="H23" s="90">
        <f t="shared" si="0"/>
        <v>14470</v>
      </c>
      <c r="I23" s="109">
        <f t="shared" si="1"/>
        <v>2894</v>
      </c>
      <c r="J23" s="91">
        <v>79876</v>
      </c>
      <c r="K23" s="89">
        <f t="shared" si="13"/>
        <v>89</v>
      </c>
      <c r="L23" s="75">
        <f t="shared" si="2"/>
        <v>697.76</v>
      </c>
      <c r="M23" s="88">
        <v>35654</v>
      </c>
      <c r="N23" s="89">
        <f t="shared" si="14"/>
        <v>18</v>
      </c>
      <c r="O23" s="89">
        <v>20460</v>
      </c>
      <c r="P23" s="92">
        <f t="shared" si="15"/>
        <v>12</v>
      </c>
      <c r="Q23" s="92">
        <f t="shared" si="4"/>
        <v>30</v>
      </c>
      <c r="R23" s="93">
        <v>52230</v>
      </c>
      <c r="S23" s="92">
        <f t="shared" si="16"/>
        <v>29</v>
      </c>
      <c r="T23" s="102">
        <f t="shared" si="5"/>
        <v>30.615300000000001</v>
      </c>
      <c r="U23" s="100">
        <f t="shared" si="6"/>
        <v>554.9650650000001</v>
      </c>
      <c r="V23" s="88">
        <v>67546</v>
      </c>
      <c r="W23" s="89">
        <f>IF(ISBLANK(V23)," ",V23-V22)</f>
        <v>23</v>
      </c>
      <c r="X23" s="169">
        <f t="shared" si="29"/>
        <v>6539.9350000000004</v>
      </c>
      <c r="Y23" s="169">
        <f t="shared" si="7"/>
        <v>2251.045627</v>
      </c>
      <c r="Z23" s="298">
        <f t="shared" si="8"/>
        <v>4384.9184166666664</v>
      </c>
      <c r="AA23" s="170">
        <f t="shared" si="9"/>
        <v>6635.9640436666668</v>
      </c>
      <c r="AB23" s="93">
        <v>6208944</v>
      </c>
      <c r="AC23" s="174">
        <f t="shared" si="18"/>
        <v>7852</v>
      </c>
      <c r="AD23" s="304">
        <v>0.59050000000000002</v>
      </c>
      <c r="AE23" s="140">
        <v>256</v>
      </c>
      <c r="AF23" s="88">
        <v>13385666</v>
      </c>
      <c r="AG23" s="89">
        <f t="shared" si="19"/>
        <v>5151</v>
      </c>
      <c r="AH23" s="94">
        <f t="shared" si="20"/>
        <v>1030.2</v>
      </c>
      <c r="AI23" s="88">
        <v>6217711</v>
      </c>
      <c r="AJ23" s="89">
        <f t="shared" si="21"/>
        <v>2165</v>
      </c>
      <c r="AK23" s="94">
        <f t="shared" si="22"/>
        <v>433</v>
      </c>
      <c r="AL23" s="91">
        <v>124977</v>
      </c>
      <c r="AM23" s="89">
        <f t="shared" si="23"/>
        <v>277</v>
      </c>
      <c r="AN23" s="94">
        <f t="shared" si="24"/>
        <v>55.400000000000006</v>
      </c>
      <c r="AO23" s="91">
        <v>6228</v>
      </c>
      <c r="AP23" s="89">
        <f t="shared" si="30"/>
        <v>7</v>
      </c>
      <c r="AQ23" s="140">
        <f t="shared" si="25"/>
        <v>54.879999999999995</v>
      </c>
      <c r="AR23" s="88">
        <v>2777</v>
      </c>
      <c r="AS23" s="89">
        <f t="shared" si="26"/>
        <v>0</v>
      </c>
      <c r="AT23" s="94">
        <f t="shared" si="10"/>
        <v>0</v>
      </c>
      <c r="AU23" s="88">
        <v>127</v>
      </c>
      <c r="AV23" s="89">
        <f t="shared" si="27"/>
        <v>1</v>
      </c>
      <c r="AW23" s="94">
        <f t="shared" si="28"/>
        <v>7.84</v>
      </c>
    </row>
    <row r="24" spans="1:49" s="3" customFormat="1" ht="27.95" customHeight="1" x14ac:dyDescent="0.25">
      <c r="A24" s="98">
        <v>45402</v>
      </c>
      <c r="B24" s="91">
        <v>19060205</v>
      </c>
      <c r="C24" s="89">
        <f t="shared" si="3"/>
        <v>7665</v>
      </c>
      <c r="D24" s="89">
        <v>19976220</v>
      </c>
      <c r="E24" s="89">
        <f t="shared" si="11"/>
        <v>6645</v>
      </c>
      <c r="F24" s="89">
        <v>454218</v>
      </c>
      <c r="G24" s="89">
        <f t="shared" si="12"/>
        <v>131</v>
      </c>
      <c r="H24" s="90">
        <f t="shared" si="0"/>
        <v>14441</v>
      </c>
      <c r="I24" s="109">
        <f t="shared" si="1"/>
        <v>2888.2000000000003</v>
      </c>
      <c r="J24" s="91">
        <v>79960</v>
      </c>
      <c r="K24" s="89">
        <f t="shared" si="13"/>
        <v>84</v>
      </c>
      <c r="L24" s="75">
        <f t="shared" si="2"/>
        <v>658.56</v>
      </c>
      <c r="M24" s="88">
        <v>35672</v>
      </c>
      <c r="N24" s="89">
        <f t="shared" si="14"/>
        <v>18</v>
      </c>
      <c r="O24" s="89">
        <v>20475</v>
      </c>
      <c r="P24" s="92">
        <f t="shared" si="15"/>
        <v>15</v>
      </c>
      <c r="Q24" s="92">
        <f t="shared" si="4"/>
        <v>33</v>
      </c>
      <c r="R24" s="93">
        <v>52263</v>
      </c>
      <c r="S24" s="92">
        <f t="shared" si="16"/>
        <v>33</v>
      </c>
      <c r="T24" s="102">
        <f t="shared" si="5"/>
        <v>34.838100000000004</v>
      </c>
      <c r="U24" s="100">
        <f t="shared" si="6"/>
        <v>601.62700500000005</v>
      </c>
      <c r="V24" s="88">
        <v>67571</v>
      </c>
      <c r="W24" s="89">
        <f t="shared" ref="W24:W34" si="31">IF(ISBLANK(V24)," ",V24-V23)</f>
        <v>25</v>
      </c>
      <c r="X24" s="169">
        <f t="shared" si="29"/>
        <v>7108.6250000000009</v>
      </c>
      <c r="Y24" s="169">
        <f t="shared" si="7"/>
        <v>2446.7887250000003</v>
      </c>
      <c r="Z24" s="298">
        <f t="shared" si="8"/>
        <v>4384.9184166666664</v>
      </c>
      <c r="AA24" s="170">
        <f t="shared" si="9"/>
        <v>6831.7071416666668</v>
      </c>
      <c r="AB24" s="93">
        <v>6216540</v>
      </c>
      <c r="AC24" s="174">
        <f t="shared" si="18"/>
        <v>7596</v>
      </c>
      <c r="AD24" s="304">
        <v>0.59050000000000002</v>
      </c>
      <c r="AE24" s="140">
        <v>268</v>
      </c>
      <c r="AF24" s="88">
        <v>13389931</v>
      </c>
      <c r="AG24" s="89">
        <f t="shared" si="19"/>
        <v>4265</v>
      </c>
      <c r="AH24" s="94">
        <f t="shared" si="20"/>
        <v>853</v>
      </c>
      <c r="AI24" s="88">
        <v>6219751</v>
      </c>
      <c r="AJ24" s="89">
        <f t="shared" si="21"/>
        <v>2040</v>
      </c>
      <c r="AK24" s="94">
        <f t="shared" si="22"/>
        <v>408</v>
      </c>
      <c r="AL24" s="91">
        <v>125257</v>
      </c>
      <c r="AM24" s="89">
        <f t="shared" si="23"/>
        <v>280</v>
      </c>
      <c r="AN24" s="94">
        <f t="shared" si="24"/>
        <v>56</v>
      </c>
      <c r="AO24" s="144">
        <v>6237</v>
      </c>
      <c r="AP24" s="89">
        <f t="shared" si="30"/>
        <v>9</v>
      </c>
      <c r="AQ24" s="140">
        <f t="shared" si="25"/>
        <v>70.56</v>
      </c>
      <c r="AR24" s="143">
        <v>2777</v>
      </c>
      <c r="AS24" s="89">
        <f t="shared" si="26"/>
        <v>0</v>
      </c>
      <c r="AT24" s="94">
        <f t="shared" si="10"/>
        <v>0</v>
      </c>
      <c r="AU24" s="88">
        <v>128</v>
      </c>
      <c r="AV24" s="89">
        <f t="shared" si="27"/>
        <v>1</v>
      </c>
      <c r="AW24" s="94">
        <f t="shared" si="28"/>
        <v>7.84</v>
      </c>
    </row>
    <row r="25" spans="1:49" s="7" customFormat="1" ht="27.95" customHeight="1" x14ac:dyDescent="0.25">
      <c r="A25" s="98">
        <v>45403</v>
      </c>
      <c r="B25" s="91">
        <v>19068264</v>
      </c>
      <c r="C25" s="89">
        <f t="shared" si="3"/>
        <v>8059</v>
      </c>
      <c r="D25" s="89">
        <v>19982906</v>
      </c>
      <c r="E25" s="89">
        <f t="shared" si="11"/>
        <v>6686</v>
      </c>
      <c r="F25" s="89">
        <v>454351</v>
      </c>
      <c r="G25" s="89">
        <f t="shared" si="12"/>
        <v>133</v>
      </c>
      <c r="H25" s="90">
        <f t="shared" si="0"/>
        <v>14878</v>
      </c>
      <c r="I25" s="109">
        <f t="shared" si="1"/>
        <v>2975.6000000000004</v>
      </c>
      <c r="J25" s="91">
        <v>80059</v>
      </c>
      <c r="K25" s="89">
        <f t="shared" si="13"/>
        <v>99</v>
      </c>
      <c r="L25" s="75">
        <f t="shared" si="2"/>
        <v>776.16</v>
      </c>
      <c r="M25" s="88">
        <v>35690</v>
      </c>
      <c r="N25" s="89">
        <f t="shared" si="14"/>
        <v>18</v>
      </c>
      <c r="O25" s="89">
        <v>20486</v>
      </c>
      <c r="P25" s="92">
        <f t="shared" si="15"/>
        <v>11</v>
      </c>
      <c r="Q25" s="92">
        <f t="shared" si="4"/>
        <v>29</v>
      </c>
      <c r="R25" s="93">
        <v>52292</v>
      </c>
      <c r="S25" s="92">
        <f t="shared" si="16"/>
        <v>29</v>
      </c>
      <c r="T25" s="102">
        <f>S25*1.0557</f>
        <v>30.615300000000001</v>
      </c>
      <c r="U25" s="100">
        <f t="shared" si="6"/>
        <v>554.9650650000001</v>
      </c>
      <c r="V25" s="88">
        <v>67594</v>
      </c>
      <c r="W25" s="89">
        <f t="shared" si="31"/>
        <v>23</v>
      </c>
      <c r="X25" s="169">
        <f t="shared" si="29"/>
        <v>6539.9350000000004</v>
      </c>
      <c r="Y25" s="169">
        <f t="shared" si="7"/>
        <v>2251.045627</v>
      </c>
      <c r="Z25" s="298">
        <f t="shared" si="8"/>
        <v>4384.9184166666664</v>
      </c>
      <c r="AA25" s="307">
        <f t="shared" si="9"/>
        <v>6635.9640436666668</v>
      </c>
      <c r="AB25" s="93">
        <v>6224672</v>
      </c>
      <c r="AC25" s="174">
        <f t="shared" si="18"/>
        <v>8132</v>
      </c>
      <c r="AD25" s="308">
        <v>0.75239999999999996</v>
      </c>
      <c r="AE25" s="309">
        <v>321</v>
      </c>
      <c r="AF25" s="143">
        <v>13394291</v>
      </c>
      <c r="AG25" s="89">
        <f t="shared" si="19"/>
        <v>4360</v>
      </c>
      <c r="AH25" s="94">
        <f t="shared" si="20"/>
        <v>872</v>
      </c>
      <c r="AI25" s="143">
        <v>6221872</v>
      </c>
      <c r="AJ25" s="89">
        <f t="shared" si="21"/>
        <v>2121</v>
      </c>
      <c r="AK25" s="94">
        <f t="shared" si="22"/>
        <v>424.20000000000005</v>
      </c>
      <c r="AL25" s="144">
        <v>125570</v>
      </c>
      <c r="AM25" s="89">
        <f t="shared" si="23"/>
        <v>313</v>
      </c>
      <c r="AN25" s="94">
        <f t="shared" si="24"/>
        <v>62.6</v>
      </c>
      <c r="AO25" s="91">
        <v>6246</v>
      </c>
      <c r="AP25" s="89">
        <f t="shared" si="30"/>
        <v>9</v>
      </c>
      <c r="AQ25" s="140">
        <f t="shared" si="25"/>
        <v>70.56</v>
      </c>
      <c r="AR25" s="88">
        <v>2780</v>
      </c>
      <c r="AS25" s="89">
        <f t="shared" si="26"/>
        <v>3</v>
      </c>
      <c r="AT25" s="94">
        <f t="shared" si="10"/>
        <v>23.52</v>
      </c>
      <c r="AU25" s="143">
        <v>128</v>
      </c>
      <c r="AV25" s="89">
        <f t="shared" si="27"/>
        <v>0</v>
      </c>
      <c r="AW25" s="94">
        <f t="shared" si="28"/>
        <v>0</v>
      </c>
    </row>
    <row r="26" spans="1:49" s="3" customFormat="1" ht="27.95" customHeight="1" x14ac:dyDescent="0.25">
      <c r="A26" s="98">
        <v>45404</v>
      </c>
      <c r="B26" s="91">
        <v>19076418</v>
      </c>
      <c r="C26" s="89">
        <f t="shared" si="3"/>
        <v>8154</v>
      </c>
      <c r="D26" s="89">
        <v>19989572</v>
      </c>
      <c r="E26" s="89">
        <f t="shared" si="11"/>
        <v>6666</v>
      </c>
      <c r="F26" s="89">
        <v>454486</v>
      </c>
      <c r="G26" s="89">
        <f t="shared" si="12"/>
        <v>135</v>
      </c>
      <c r="H26" s="90">
        <f t="shared" si="0"/>
        <v>14955</v>
      </c>
      <c r="I26" s="109">
        <f t="shared" si="1"/>
        <v>2991</v>
      </c>
      <c r="J26" s="91">
        <v>80167</v>
      </c>
      <c r="K26" s="89">
        <f t="shared" si="13"/>
        <v>108</v>
      </c>
      <c r="L26" s="75">
        <f t="shared" si="2"/>
        <v>846.72</v>
      </c>
      <c r="M26" s="88">
        <v>35709</v>
      </c>
      <c r="N26" s="89">
        <f t="shared" si="14"/>
        <v>19</v>
      </c>
      <c r="O26" s="89">
        <v>20503</v>
      </c>
      <c r="P26" s="92">
        <f t="shared" si="15"/>
        <v>17</v>
      </c>
      <c r="Q26" s="92">
        <f t="shared" si="4"/>
        <v>36</v>
      </c>
      <c r="R26" s="93">
        <v>52325</v>
      </c>
      <c r="S26" s="92">
        <f t="shared" si="16"/>
        <v>33</v>
      </c>
      <c r="T26" s="102">
        <f t="shared" si="5"/>
        <v>34.838100000000004</v>
      </c>
      <c r="U26" s="100">
        <f t="shared" si="6"/>
        <v>601.62700500000005</v>
      </c>
      <c r="V26" s="88">
        <v>67619</v>
      </c>
      <c r="W26" s="89">
        <f t="shared" si="31"/>
        <v>25</v>
      </c>
      <c r="X26" s="169">
        <f t="shared" si="29"/>
        <v>7108.6250000000009</v>
      </c>
      <c r="Y26" s="169">
        <f t="shared" si="7"/>
        <v>2446.7887250000003</v>
      </c>
      <c r="Z26" s="298">
        <f t="shared" si="8"/>
        <v>4384.9184166666664</v>
      </c>
      <c r="AA26" s="170">
        <f t="shared" si="9"/>
        <v>6831.7071416666668</v>
      </c>
      <c r="AB26" s="93">
        <v>6233409</v>
      </c>
      <c r="AC26" s="174">
        <f t="shared" si="18"/>
        <v>8737</v>
      </c>
      <c r="AD26" s="304">
        <v>0.98409999999999997</v>
      </c>
      <c r="AE26" s="140">
        <v>427</v>
      </c>
      <c r="AF26" s="88">
        <v>13399566</v>
      </c>
      <c r="AG26" s="89">
        <f t="shared" si="19"/>
        <v>5275</v>
      </c>
      <c r="AH26" s="94">
        <f t="shared" si="20"/>
        <v>1055</v>
      </c>
      <c r="AI26" s="88">
        <v>6224076</v>
      </c>
      <c r="AJ26" s="89">
        <f t="shared" si="21"/>
        <v>2204</v>
      </c>
      <c r="AK26" s="94">
        <f t="shared" si="22"/>
        <v>440.8</v>
      </c>
      <c r="AL26" s="91">
        <v>125898</v>
      </c>
      <c r="AM26" s="89">
        <f t="shared" si="23"/>
        <v>328</v>
      </c>
      <c r="AN26" s="94">
        <f t="shared" si="24"/>
        <v>65.600000000000009</v>
      </c>
      <c r="AO26" s="91">
        <v>6255</v>
      </c>
      <c r="AP26" s="89">
        <f t="shared" si="30"/>
        <v>9</v>
      </c>
      <c r="AQ26" s="140">
        <f t="shared" si="25"/>
        <v>70.56</v>
      </c>
      <c r="AR26" s="88">
        <v>2781</v>
      </c>
      <c r="AS26" s="89">
        <f t="shared" si="26"/>
        <v>1</v>
      </c>
      <c r="AT26" s="94">
        <f t="shared" si="10"/>
        <v>7.84</v>
      </c>
      <c r="AU26" s="88">
        <v>129</v>
      </c>
      <c r="AV26" s="89">
        <f t="shared" si="27"/>
        <v>1</v>
      </c>
      <c r="AW26" s="94">
        <f t="shared" si="28"/>
        <v>7.84</v>
      </c>
    </row>
    <row r="27" spans="1:49" s="3" customFormat="1" ht="27.95" customHeight="1" x14ac:dyDescent="0.25">
      <c r="A27" s="98">
        <v>45405</v>
      </c>
      <c r="B27" s="91">
        <v>19084555</v>
      </c>
      <c r="C27" s="89">
        <f t="shared" si="3"/>
        <v>8137</v>
      </c>
      <c r="D27" s="89">
        <v>19996524</v>
      </c>
      <c r="E27" s="89">
        <f t="shared" si="11"/>
        <v>6952</v>
      </c>
      <c r="F27" s="89">
        <v>454622</v>
      </c>
      <c r="G27" s="89">
        <f t="shared" si="12"/>
        <v>136</v>
      </c>
      <c r="H27" s="90">
        <f t="shared" si="0"/>
        <v>15225</v>
      </c>
      <c r="I27" s="109">
        <f t="shared" si="1"/>
        <v>3045</v>
      </c>
      <c r="J27" s="91">
        <v>80264</v>
      </c>
      <c r="K27" s="89">
        <f>IF(ISBLANK(J27),"0",J27-J26)</f>
        <v>97</v>
      </c>
      <c r="L27" s="75">
        <f t="shared" si="2"/>
        <v>760.48</v>
      </c>
      <c r="M27" s="88">
        <v>35726</v>
      </c>
      <c r="N27" s="89">
        <f t="shared" si="14"/>
        <v>17</v>
      </c>
      <c r="O27" s="89">
        <v>20516</v>
      </c>
      <c r="P27" s="92">
        <f t="shared" si="15"/>
        <v>13</v>
      </c>
      <c r="Q27" s="92">
        <f t="shared" si="4"/>
        <v>30</v>
      </c>
      <c r="R27" s="93">
        <v>52356</v>
      </c>
      <c r="S27" s="92">
        <f t="shared" si="16"/>
        <v>31</v>
      </c>
      <c r="T27" s="102">
        <f t="shared" si="5"/>
        <v>32.726700000000001</v>
      </c>
      <c r="U27" s="100">
        <f t="shared" si="6"/>
        <v>578.29603500000007</v>
      </c>
      <c r="V27" s="88">
        <v>67646</v>
      </c>
      <c r="W27" s="89">
        <f t="shared" si="31"/>
        <v>27</v>
      </c>
      <c r="X27" s="169">
        <f t="shared" si="29"/>
        <v>7677.3150000000005</v>
      </c>
      <c r="Y27" s="169">
        <f t="shared" si="7"/>
        <v>2642.5318230000003</v>
      </c>
      <c r="Z27" s="298">
        <f t="shared" si="8"/>
        <v>4384.9184166666664</v>
      </c>
      <c r="AA27" s="170">
        <f t="shared" si="9"/>
        <v>7027.4502396666667</v>
      </c>
      <c r="AB27" s="93">
        <v>6242537</v>
      </c>
      <c r="AC27" s="174">
        <f t="shared" si="18"/>
        <v>9128</v>
      </c>
      <c r="AD27" s="304">
        <v>0.96189999999999998</v>
      </c>
      <c r="AE27" s="140">
        <v>410</v>
      </c>
      <c r="AF27" s="88">
        <v>13404979</v>
      </c>
      <c r="AG27" s="89">
        <f t="shared" si="19"/>
        <v>5413</v>
      </c>
      <c r="AH27" s="94">
        <f t="shared" si="20"/>
        <v>1082.6000000000001</v>
      </c>
      <c r="AI27" s="88">
        <v>6226287</v>
      </c>
      <c r="AJ27" s="89">
        <f t="shared" si="21"/>
        <v>2211</v>
      </c>
      <c r="AK27" s="94">
        <f t="shared" si="22"/>
        <v>442.20000000000005</v>
      </c>
      <c r="AL27" s="91">
        <v>126263</v>
      </c>
      <c r="AM27" s="89">
        <f t="shared" si="23"/>
        <v>365</v>
      </c>
      <c r="AN27" s="94">
        <f t="shared" si="24"/>
        <v>73</v>
      </c>
      <c r="AO27" s="91">
        <v>6266</v>
      </c>
      <c r="AP27" s="89">
        <f t="shared" si="30"/>
        <v>11</v>
      </c>
      <c r="AQ27" s="140">
        <f t="shared" si="25"/>
        <v>86.24</v>
      </c>
      <c r="AR27" s="88">
        <v>2783</v>
      </c>
      <c r="AS27" s="89">
        <f t="shared" si="26"/>
        <v>2</v>
      </c>
      <c r="AT27" s="94">
        <f t="shared" si="10"/>
        <v>15.68</v>
      </c>
      <c r="AU27" s="88">
        <v>130</v>
      </c>
      <c r="AV27" s="89">
        <f t="shared" si="27"/>
        <v>1</v>
      </c>
      <c r="AW27" s="94">
        <f t="shared" si="28"/>
        <v>7.84</v>
      </c>
    </row>
    <row r="28" spans="1:49" s="3" customFormat="1" ht="27.95" customHeight="1" x14ac:dyDescent="0.25">
      <c r="A28" s="98">
        <v>45406</v>
      </c>
      <c r="B28" s="91">
        <v>19092755</v>
      </c>
      <c r="C28" s="89">
        <f t="shared" si="3"/>
        <v>8200</v>
      </c>
      <c r="D28" s="89">
        <v>20003526</v>
      </c>
      <c r="E28" s="89">
        <f t="shared" si="11"/>
        <v>7002</v>
      </c>
      <c r="F28" s="89">
        <v>454746</v>
      </c>
      <c r="G28" s="89">
        <f t="shared" si="12"/>
        <v>124</v>
      </c>
      <c r="H28" s="90">
        <f t="shared" si="0"/>
        <v>15326</v>
      </c>
      <c r="I28" s="109">
        <f t="shared" si="1"/>
        <v>3065.2000000000003</v>
      </c>
      <c r="J28" s="91">
        <v>80375</v>
      </c>
      <c r="K28" s="89">
        <f t="shared" si="13"/>
        <v>111</v>
      </c>
      <c r="L28" s="75">
        <f t="shared" si="2"/>
        <v>870.24</v>
      </c>
      <c r="M28" s="88">
        <v>35744</v>
      </c>
      <c r="N28" s="89">
        <f t="shared" si="14"/>
        <v>18</v>
      </c>
      <c r="O28" s="89">
        <v>20527</v>
      </c>
      <c r="P28" s="92">
        <f t="shared" si="15"/>
        <v>11</v>
      </c>
      <c r="Q28" s="92">
        <f t="shared" si="4"/>
        <v>29</v>
      </c>
      <c r="R28" s="93">
        <v>52383</v>
      </c>
      <c r="S28" s="92">
        <f t="shared" si="16"/>
        <v>27</v>
      </c>
      <c r="T28" s="102">
        <f t="shared" si="5"/>
        <v>28.503900000000002</v>
      </c>
      <c r="U28" s="100">
        <f t="shared" si="6"/>
        <v>531.63409500000012</v>
      </c>
      <c r="V28" s="88">
        <v>67671</v>
      </c>
      <c r="W28" s="89">
        <f t="shared" si="31"/>
        <v>25</v>
      </c>
      <c r="X28" s="169">
        <f t="shared" si="29"/>
        <v>7108.6250000000009</v>
      </c>
      <c r="Y28" s="169">
        <f t="shared" si="7"/>
        <v>2446.7887250000003</v>
      </c>
      <c r="Z28" s="298">
        <f t="shared" si="8"/>
        <v>4384.9184166666664</v>
      </c>
      <c r="AA28" s="170">
        <f t="shared" si="9"/>
        <v>6831.7071416666668</v>
      </c>
      <c r="AB28" s="93">
        <v>6251224</v>
      </c>
      <c r="AC28" s="174">
        <f t="shared" si="18"/>
        <v>8687</v>
      </c>
      <c r="AD28" s="304">
        <v>0.99050000000000005</v>
      </c>
      <c r="AE28" s="140">
        <v>429</v>
      </c>
      <c r="AF28" s="88">
        <v>13410543</v>
      </c>
      <c r="AG28" s="89">
        <f t="shared" si="19"/>
        <v>5564</v>
      </c>
      <c r="AH28" s="94">
        <f t="shared" si="20"/>
        <v>1112.8</v>
      </c>
      <c r="AI28" s="88">
        <v>6228539</v>
      </c>
      <c r="AJ28" s="89">
        <f t="shared" si="21"/>
        <v>2252</v>
      </c>
      <c r="AK28" s="94">
        <f t="shared" si="22"/>
        <v>450.40000000000003</v>
      </c>
      <c r="AL28" s="91">
        <v>126595</v>
      </c>
      <c r="AM28" s="89">
        <f t="shared" si="23"/>
        <v>332</v>
      </c>
      <c r="AN28" s="94">
        <f t="shared" si="24"/>
        <v>66.400000000000006</v>
      </c>
      <c r="AO28" s="91">
        <v>6275</v>
      </c>
      <c r="AP28" s="89">
        <f t="shared" si="30"/>
        <v>9</v>
      </c>
      <c r="AQ28" s="140">
        <f t="shared" si="25"/>
        <v>70.56</v>
      </c>
      <c r="AR28" s="88">
        <v>2784</v>
      </c>
      <c r="AS28" s="89">
        <f t="shared" si="26"/>
        <v>1</v>
      </c>
      <c r="AT28" s="94">
        <f t="shared" si="10"/>
        <v>7.84</v>
      </c>
      <c r="AU28" s="88">
        <v>131</v>
      </c>
      <c r="AV28" s="89">
        <f t="shared" si="27"/>
        <v>1</v>
      </c>
      <c r="AW28" s="94">
        <f t="shared" si="28"/>
        <v>7.84</v>
      </c>
    </row>
    <row r="29" spans="1:49" s="3" customFormat="1" ht="27.95" customHeight="1" x14ac:dyDescent="0.25">
      <c r="A29" s="98">
        <v>45407</v>
      </c>
      <c r="B29" s="91">
        <v>19100930</v>
      </c>
      <c r="C29" s="89">
        <f t="shared" si="3"/>
        <v>8175</v>
      </c>
      <c r="D29" s="89">
        <v>20010476</v>
      </c>
      <c r="E29" s="89">
        <f t="shared" si="11"/>
        <v>6950</v>
      </c>
      <c r="F29" s="89">
        <v>454870</v>
      </c>
      <c r="G29" s="89">
        <f t="shared" si="12"/>
        <v>124</v>
      </c>
      <c r="H29" s="90">
        <f t="shared" si="0"/>
        <v>15249</v>
      </c>
      <c r="I29" s="109">
        <f t="shared" si="1"/>
        <v>3049.8</v>
      </c>
      <c r="J29" s="91">
        <v>80486</v>
      </c>
      <c r="K29" s="89">
        <f t="shared" si="13"/>
        <v>111</v>
      </c>
      <c r="L29" s="75">
        <f t="shared" si="2"/>
        <v>870.24</v>
      </c>
      <c r="M29" s="88">
        <v>35761</v>
      </c>
      <c r="N29" s="89">
        <f t="shared" si="14"/>
        <v>17</v>
      </c>
      <c r="O29" s="89">
        <v>20541</v>
      </c>
      <c r="P29" s="92">
        <f t="shared" si="15"/>
        <v>14</v>
      </c>
      <c r="Q29" s="92">
        <f t="shared" si="4"/>
        <v>31</v>
      </c>
      <c r="R29" s="93">
        <v>52414</v>
      </c>
      <c r="S29" s="92">
        <f t="shared" si="16"/>
        <v>31</v>
      </c>
      <c r="T29" s="102">
        <f t="shared" si="5"/>
        <v>32.726700000000001</v>
      </c>
      <c r="U29" s="100">
        <f t="shared" si="6"/>
        <v>578.29603500000007</v>
      </c>
      <c r="V29" s="88">
        <v>67696</v>
      </c>
      <c r="W29" s="89">
        <f t="shared" si="31"/>
        <v>25</v>
      </c>
      <c r="X29" s="169">
        <f t="shared" si="29"/>
        <v>7108.6250000000009</v>
      </c>
      <c r="Y29" s="169">
        <f t="shared" si="7"/>
        <v>2446.7887250000003</v>
      </c>
      <c r="Z29" s="298">
        <f t="shared" si="8"/>
        <v>4384.9184166666664</v>
      </c>
      <c r="AA29" s="170">
        <f t="shared" si="9"/>
        <v>6831.7071416666668</v>
      </c>
      <c r="AB29" s="93">
        <v>6259919</v>
      </c>
      <c r="AC29" s="174">
        <f t="shared" si="18"/>
        <v>8695</v>
      </c>
      <c r="AD29" s="304">
        <v>0.98409999999999997</v>
      </c>
      <c r="AE29" s="140">
        <v>457</v>
      </c>
      <c r="AF29" s="88">
        <v>13416030</v>
      </c>
      <c r="AG29" s="89">
        <f t="shared" si="19"/>
        <v>5487</v>
      </c>
      <c r="AH29" s="94">
        <f t="shared" si="20"/>
        <v>1097.4000000000001</v>
      </c>
      <c r="AI29" s="88">
        <v>6230800</v>
      </c>
      <c r="AJ29" s="89">
        <f t="shared" si="21"/>
        <v>2261</v>
      </c>
      <c r="AK29" s="94">
        <f t="shared" si="22"/>
        <v>452.20000000000005</v>
      </c>
      <c r="AL29" s="91">
        <v>126908</v>
      </c>
      <c r="AM29" s="89">
        <f t="shared" si="23"/>
        <v>313</v>
      </c>
      <c r="AN29" s="94">
        <f t="shared" si="24"/>
        <v>62.6</v>
      </c>
      <c r="AO29" s="91">
        <v>6284</v>
      </c>
      <c r="AP29" s="89">
        <f t="shared" si="30"/>
        <v>9</v>
      </c>
      <c r="AQ29" s="140">
        <f t="shared" si="25"/>
        <v>70.56</v>
      </c>
      <c r="AR29" s="88">
        <v>2785</v>
      </c>
      <c r="AS29" s="89">
        <f t="shared" si="26"/>
        <v>1</v>
      </c>
      <c r="AT29" s="94">
        <f t="shared" si="10"/>
        <v>7.84</v>
      </c>
      <c r="AU29" s="88">
        <v>132</v>
      </c>
      <c r="AV29" s="89">
        <f t="shared" si="27"/>
        <v>1</v>
      </c>
      <c r="AW29" s="94">
        <f t="shared" si="28"/>
        <v>7.84</v>
      </c>
    </row>
    <row r="30" spans="1:49" s="3" customFormat="1" ht="27.95" customHeight="1" x14ac:dyDescent="0.25">
      <c r="A30" s="98">
        <v>45408</v>
      </c>
      <c r="B30" s="91">
        <v>19109078</v>
      </c>
      <c r="C30" s="89">
        <f t="shared" si="3"/>
        <v>8148</v>
      </c>
      <c r="D30" s="89">
        <v>20017356</v>
      </c>
      <c r="E30" s="89">
        <f t="shared" si="11"/>
        <v>6880</v>
      </c>
      <c r="F30" s="89">
        <v>454991</v>
      </c>
      <c r="G30" s="89">
        <f t="shared" si="12"/>
        <v>121</v>
      </c>
      <c r="H30" s="90">
        <f t="shared" si="0"/>
        <v>15149</v>
      </c>
      <c r="I30" s="109">
        <f t="shared" si="1"/>
        <v>3029.8</v>
      </c>
      <c r="J30" s="91">
        <v>80592</v>
      </c>
      <c r="K30" s="89">
        <f t="shared" si="13"/>
        <v>106</v>
      </c>
      <c r="L30" s="75">
        <f t="shared" si="2"/>
        <v>831.04</v>
      </c>
      <c r="M30" s="88">
        <v>35780</v>
      </c>
      <c r="N30" s="89">
        <f t="shared" si="14"/>
        <v>19</v>
      </c>
      <c r="O30" s="89">
        <v>20555</v>
      </c>
      <c r="P30" s="92">
        <f t="shared" si="15"/>
        <v>14</v>
      </c>
      <c r="Q30" s="92">
        <f t="shared" si="4"/>
        <v>33</v>
      </c>
      <c r="R30" s="93">
        <v>52447</v>
      </c>
      <c r="S30" s="92">
        <f t="shared" si="16"/>
        <v>33</v>
      </c>
      <c r="T30" s="102">
        <f t="shared" si="5"/>
        <v>34.838100000000004</v>
      </c>
      <c r="U30" s="100">
        <f t="shared" si="6"/>
        <v>601.62700500000005</v>
      </c>
      <c r="V30" s="88">
        <v>67722</v>
      </c>
      <c r="W30" s="89">
        <f t="shared" si="31"/>
        <v>26</v>
      </c>
      <c r="X30" s="169">
        <f t="shared" si="29"/>
        <v>7392.9700000000012</v>
      </c>
      <c r="Y30" s="169">
        <f t="shared" si="7"/>
        <v>2544.6602740000003</v>
      </c>
      <c r="Z30" s="298">
        <f t="shared" si="8"/>
        <v>4384.9184166666664</v>
      </c>
      <c r="AA30" s="170">
        <f t="shared" si="9"/>
        <v>6929.5786906666672</v>
      </c>
      <c r="AB30" s="93">
        <v>6268578</v>
      </c>
      <c r="AC30" s="174">
        <f t="shared" si="18"/>
        <v>8659</v>
      </c>
      <c r="AD30" s="304">
        <v>0.873</v>
      </c>
      <c r="AE30" s="140">
        <v>421</v>
      </c>
      <c r="AF30" s="88">
        <v>13421274</v>
      </c>
      <c r="AG30" s="89">
        <f t="shared" si="19"/>
        <v>5244</v>
      </c>
      <c r="AH30" s="94">
        <f t="shared" si="20"/>
        <v>1048.8</v>
      </c>
      <c r="AI30" s="88">
        <v>6233016</v>
      </c>
      <c r="AJ30" s="89">
        <f t="shared" si="21"/>
        <v>2216</v>
      </c>
      <c r="AK30" s="94">
        <f t="shared" si="22"/>
        <v>443.20000000000005</v>
      </c>
      <c r="AL30" s="91">
        <v>127235</v>
      </c>
      <c r="AM30" s="89">
        <f t="shared" si="23"/>
        <v>327</v>
      </c>
      <c r="AN30" s="94">
        <f t="shared" si="24"/>
        <v>65.400000000000006</v>
      </c>
      <c r="AO30" s="91">
        <v>6295</v>
      </c>
      <c r="AP30" s="89">
        <f t="shared" si="30"/>
        <v>11</v>
      </c>
      <c r="AQ30" s="140">
        <f t="shared" si="25"/>
        <v>86.24</v>
      </c>
      <c r="AR30" s="88">
        <v>2786</v>
      </c>
      <c r="AS30" s="89">
        <f t="shared" si="26"/>
        <v>1</v>
      </c>
      <c r="AT30" s="94">
        <f t="shared" si="10"/>
        <v>7.84</v>
      </c>
      <c r="AU30" s="88">
        <v>133</v>
      </c>
      <c r="AV30" s="89">
        <f t="shared" si="27"/>
        <v>1</v>
      </c>
      <c r="AW30" s="94">
        <f t="shared" si="28"/>
        <v>7.84</v>
      </c>
    </row>
    <row r="31" spans="1:49" s="3" customFormat="1" ht="27.95" customHeight="1" x14ac:dyDescent="0.25">
      <c r="A31" s="98">
        <v>45409</v>
      </c>
      <c r="B31" s="91">
        <v>19117178</v>
      </c>
      <c r="C31" s="89">
        <f t="shared" si="3"/>
        <v>8100</v>
      </c>
      <c r="D31" s="89">
        <v>20024125</v>
      </c>
      <c r="E31" s="89">
        <f t="shared" si="11"/>
        <v>6769</v>
      </c>
      <c r="F31" s="89">
        <v>455109</v>
      </c>
      <c r="G31" s="89">
        <f t="shared" si="12"/>
        <v>118</v>
      </c>
      <c r="H31" s="90">
        <f t="shared" si="0"/>
        <v>14987</v>
      </c>
      <c r="I31" s="109">
        <f t="shared" si="1"/>
        <v>2997.4</v>
      </c>
      <c r="J31" s="91">
        <v>80708</v>
      </c>
      <c r="K31" s="89">
        <f t="shared" si="13"/>
        <v>116</v>
      </c>
      <c r="L31" s="75">
        <f t="shared" si="2"/>
        <v>909.43999999999994</v>
      </c>
      <c r="M31" s="88">
        <v>35799</v>
      </c>
      <c r="N31" s="89">
        <f t="shared" si="14"/>
        <v>19</v>
      </c>
      <c r="O31" s="89">
        <v>20569</v>
      </c>
      <c r="P31" s="92">
        <f t="shared" si="15"/>
        <v>14</v>
      </c>
      <c r="Q31" s="92">
        <f t="shared" si="4"/>
        <v>33</v>
      </c>
      <c r="R31" s="93">
        <v>52480</v>
      </c>
      <c r="S31" s="92">
        <f t="shared" si="16"/>
        <v>33</v>
      </c>
      <c r="T31" s="102">
        <f t="shared" si="5"/>
        <v>34.838100000000004</v>
      </c>
      <c r="U31" s="100">
        <f t="shared" si="6"/>
        <v>601.62700500000005</v>
      </c>
      <c r="V31" s="88">
        <v>67749</v>
      </c>
      <c r="W31" s="89">
        <f t="shared" si="31"/>
        <v>27</v>
      </c>
      <c r="X31" s="169">
        <f t="shared" si="29"/>
        <v>7677.3150000000005</v>
      </c>
      <c r="Y31" s="169">
        <f t="shared" si="7"/>
        <v>2642.5318230000003</v>
      </c>
      <c r="Z31" s="298">
        <f t="shared" si="8"/>
        <v>4384.9184166666664</v>
      </c>
      <c r="AA31" s="170">
        <f t="shared" si="9"/>
        <v>7027.4502396666667</v>
      </c>
      <c r="AB31" s="93">
        <v>6277359</v>
      </c>
      <c r="AC31" s="174">
        <f t="shared" si="18"/>
        <v>8781</v>
      </c>
      <c r="AD31" s="304">
        <v>0.94920000000000004</v>
      </c>
      <c r="AE31" s="140">
        <v>445</v>
      </c>
      <c r="AF31" s="88">
        <v>13425687</v>
      </c>
      <c r="AG31" s="89">
        <f t="shared" si="19"/>
        <v>4413</v>
      </c>
      <c r="AH31" s="94">
        <f t="shared" si="20"/>
        <v>882.6</v>
      </c>
      <c r="AI31" s="88">
        <v>6235147</v>
      </c>
      <c r="AJ31" s="89">
        <f t="shared" si="21"/>
        <v>2131</v>
      </c>
      <c r="AK31" s="94">
        <f t="shared" si="22"/>
        <v>426.20000000000005</v>
      </c>
      <c r="AL31" s="91">
        <v>127563</v>
      </c>
      <c r="AM31" s="89">
        <f t="shared" si="23"/>
        <v>328</v>
      </c>
      <c r="AN31" s="94">
        <f t="shared" si="24"/>
        <v>65.600000000000009</v>
      </c>
      <c r="AO31" s="91">
        <v>6309</v>
      </c>
      <c r="AP31" s="89">
        <f t="shared" si="30"/>
        <v>14</v>
      </c>
      <c r="AQ31" s="140">
        <f t="shared" si="25"/>
        <v>109.75999999999999</v>
      </c>
      <c r="AR31" s="88">
        <v>2787</v>
      </c>
      <c r="AS31" s="89">
        <f t="shared" si="26"/>
        <v>1</v>
      </c>
      <c r="AT31" s="94">
        <f t="shared" si="10"/>
        <v>7.84</v>
      </c>
      <c r="AU31" s="88">
        <v>134</v>
      </c>
      <c r="AV31" s="89">
        <f t="shared" si="27"/>
        <v>1</v>
      </c>
      <c r="AW31" s="94">
        <f t="shared" si="28"/>
        <v>7.84</v>
      </c>
    </row>
    <row r="32" spans="1:49" s="3" customFormat="1" ht="27.95" customHeight="1" x14ac:dyDescent="0.25">
      <c r="A32" s="98">
        <v>45410</v>
      </c>
      <c r="B32" s="91">
        <v>19125242</v>
      </c>
      <c r="C32" s="89">
        <f t="shared" si="3"/>
        <v>8064</v>
      </c>
      <c r="D32" s="89">
        <v>20030851</v>
      </c>
      <c r="E32" s="89">
        <f t="shared" si="11"/>
        <v>6726</v>
      </c>
      <c r="F32" s="89">
        <v>455230</v>
      </c>
      <c r="G32" s="89">
        <f t="shared" si="12"/>
        <v>121</v>
      </c>
      <c r="H32" s="90">
        <f t="shared" si="0"/>
        <v>14911</v>
      </c>
      <c r="I32" s="109">
        <f t="shared" si="1"/>
        <v>2982.2000000000003</v>
      </c>
      <c r="J32" s="91">
        <v>80811</v>
      </c>
      <c r="K32" s="89">
        <f t="shared" si="13"/>
        <v>103</v>
      </c>
      <c r="L32" s="75">
        <f t="shared" si="2"/>
        <v>807.52</v>
      </c>
      <c r="M32" s="88">
        <v>35817</v>
      </c>
      <c r="N32" s="89">
        <f t="shared" si="14"/>
        <v>18</v>
      </c>
      <c r="O32" s="89">
        <v>20584</v>
      </c>
      <c r="P32" s="92">
        <f t="shared" si="15"/>
        <v>15</v>
      </c>
      <c r="Q32" s="92">
        <f t="shared" si="4"/>
        <v>33</v>
      </c>
      <c r="R32" s="93">
        <v>52512</v>
      </c>
      <c r="S32" s="92">
        <f t="shared" si="16"/>
        <v>32</v>
      </c>
      <c r="T32" s="102">
        <f t="shared" si="5"/>
        <v>33.782400000000003</v>
      </c>
      <c r="U32" s="100">
        <f t="shared" si="6"/>
        <v>589.96152000000006</v>
      </c>
      <c r="V32" s="88">
        <v>67777</v>
      </c>
      <c r="W32" s="89">
        <f t="shared" si="31"/>
        <v>28</v>
      </c>
      <c r="X32" s="169">
        <f t="shared" si="29"/>
        <v>7961.6600000000008</v>
      </c>
      <c r="Y32" s="169">
        <f t="shared" si="7"/>
        <v>2740.4033720000002</v>
      </c>
      <c r="Z32" s="298">
        <f t="shared" si="8"/>
        <v>4384.9184166666664</v>
      </c>
      <c r="AA32" s="170">
        <f t="shared" si="9"/>
        <v>7125.3217886666662</v>
      </c>
      <c r="AB32" s="93">
        <v>6286549</v>
      </c>
      <c r="AC32" s="174">
        <f t="shared" si="18"/>
        <v>9190</v>
      </c>
      <c r="AD32" s="304">
        <v>0.71430000000000005</v>
      </c>
      <c r="AE32" s="140">
        <v>270</v>
      </c>
      <c r="AF32" s="88">
        <v>13430220</v>
      </c>
      <c r="AG32" s="89">
        <f t="shared" si="19"/>
        <v>4533</v>
      </c>
      <c r="AH32" s="94">
        <f t="shared" si="20"/>
        <v>906.6</v>
      </c>
      <c r="AI32" s="88">
        <v>6237281</v>
      </c>
      <c r="AJ32" s="89">
        <f t="shared" si="21"/>
        <v>2134</v>
      </c>
      <c r="AK32" s="94">
        <f t="shared" si="22"/>
        <v>426.8</v>
      </c>
      <c r="AL32" s="91">
        <v>127927</v>
      </c>
      <c r="AM32" s="89">
        <f t="shared" si="23"/>
        <v>364</v>
      </c>
      <c r="AN32" s="94">
        <f t="shared" si="24"/>
        <v>72.8</v>
      </c>
      <c r="AO32" s="91">
        <v>6318</v>
      </c>
      <c r="AP32" s="89">
        <f t="shared" si="30"/>
        <v>9</v>
      </c>
      <c r="AQ32" s="140">
        <f t="shared" si="25"/>
        <v>70.56</v>
      </c>
      <c r="AR32" s="88">
        <v>2788</v>
      </c>
      <c r="AS32" s="89">
        <f t="shared" si="26"/>
        <v>1</v>
      </c>
      <c r="AT32" s="94">
        <f t="shared" si="10"/>
        <v>7.84</v>
      </c>
      <c r="AU32" s="88">
        <v>135</v>
      </c>
      <c r="AV32" s="89">
        <f t="shared" si="27"/>
        <v>1</v>
      </c>
      <c r="AW32" s="94">
        <f t="shared" si="28"/>
        <v>7.84</v>
      </c>
    </row>
    <row r="33" spans="1:165" s="3" customFormat="1" ht="27.95" customHeight="1" x14ac:dyDescent="0.25">
      <c r="A33" s="98">
        <v>45411</v>
      </c>
      <c r="B33" s="91">
        <v>19133276</v>
      </c>
      <c r="C33" s="89">
        <f t="shared" si="3"/>
        <v>8034</v>
      </c>
      <c r="D33" s="89">
        <v>20037537</v>
      </c>
      <c r="E33" s="89">
        <f t="shared" si="11"/>
        <v>6686</v>
      </c>
      <c r="F33" s="89">
        <v>455350</v>
      </c>
      <c r="G33" s="89">
        <f t="shared" si="12"/>
        <v>120</v>
      </c>
      <c r="H33" s="90">
        <f t="shared" si="0"/>
        <v>14840</v>
      </c>
      <c r="I33" s="109">
        <f t="shared" si="1"/>
        <v>2968</v>
      </c>
      <c r="J33" s="91">
        <v>80902</v>
      </c>
      <c r="K33" s="89">
        <f t="shared" si="13"/>
        <v>91</v>
      </c>
      <c r="L33" s="75">
        <f t="shared" si="2"/>
        <v>713.43999999999994</v>
      </c>
      <c r="M33" s="88">
        <v>35835</v>
      </c>
      <c r="N33" s="89">
        <f t="shared" si="14"/>
        <v>18</v>
      </c>
      <c r="O33" s="89">
        <v>20598</v>
      </c>
      <c r="P33" s="92">
        <f t="shared" si="15"/>
        <v>14</v>
      </c>
      <c r="Q33" s="92">
        <f t="shared" si="4"/>
        <v>32</v>
      </c>
      <c r="R33" s="93">
        <v>52544</v>
      </c>
      <c r="S33" s="92">
        <f t="shared" si="16"/>
        <v>32</v>
      </c>
      <c r="T33" s="102">
        <f t="shared" si="5"/>
        <v>33.782400000000003</v>
      </c>
      <c r="U33" s="100">
        <f t="shared" si="6"/>
        <v>589.96152000000006</v>
      </c>
      <c r="V33" s="88">
        <v>67804</v>
      </c>
      <c r="W33" s="89">
        <f t="shared" si="31"/>
        <v>27</v>
      </c>
      <c r="X33" s="169">
        <f t="shared" si="29"/>
        <v>7677.3150000000005</v>
      </c>
      <c r="Y33" s="169">
        <f t="shared" si="7"/>
        <v>2642.5318230000003</v>
      </c>
      <c r="Z33" s="298">
        <f t="shared" si="8"/>
        <v>4384.9184166666664</v>
      </c>
      <c r="AA33" s="170">
        <f t="shared" si="9"/>
        <v>7027.4502396666667</v>
      </c>
      <c r="AB33" s="93">
        <v>6296207</v>
      </c>
      <c r="AC33" s="174">
        <f t="shared" si="18"/>
        <v>9658</v>
      </c>
      <c r="AD33" s="304">
        <v>0.98089999999999999</v>
      </c>
      <c r="AE33" s="140">
        <v>344</v>
      </c>
      <c r="AF33" s="88">
        <v>13435736</v>
      </c>
      <c r="AG33" s="89">
        <f t="shared" si="19"/>
        <v>5516</v>
      </c>
      <c r="AH33" s="94">
        <f t="shared" si="20"/>
        <v>1103.2</v>
      </c>
      <c r="AI33" s="88">
        <v>6239508</v>
      </c>
      <c r="AJ33" s="89">
        <f t="shared" si="21"/>
        <v>2227</v>
      </c>
      <c r="AK33" s="94">
        <f t="shared" si="22"/>
        <v>445.40000000000003</v>
      </c>
      <c r="AL33" s="91">
        <v>128274</v>
      </c>
      <c r="AM33" s="89">
        <f t="shared" si="23"/>
        <v>347</v>
      </c>
      <c r="AN33" s="94">
        <f t="shared" si="24"/>
        <v>69.400000000000006</v>
      </c>
      <c r="AO33" s="91">
        <v>6328</v>
      </c>
      <c r="AP33" s="89">
        <f t="shared" si="30"/>
        <v>10</v>
      </c>
      <c r="AQ33" s="140">
        <f t="shared" si="25"/>
        <v>78.400000000000006</v>
      </c>
      <c r="AR33" s="88">
        <v>2790</v>
      </c>
      <c r="AS33" s="89">
        <f t="shared" si="26"/>
        <v>2</v>
      </c>
      <c r="AT33" s="94">
        <f t="shared" si="10"/>
        <v>15.68</v>
      </c>
      <c r="AU33" s="88">
        <v>136</v>
      </c>
      <c r="AV33" s="89">
        <f t="shared" si="27"/>
        <v>1</v>
      </c>
      <c r="AW33" s="94">
        <f t="shared" si="28"/>
        <v>7.84</v>
      </c>
    </row>
    <row r="34" spans="1:165" s="3" customFormat="1" ht="27.95" customHeight="1" thickBot="1" x14ac:dyDescent="0.3">
      <c r="A34" s="98">
        <v>45412</v>
      </c>
      <c r="B34" s="91">
        <v>19141379</v>
      </c>
      <c r="C34" s="89">
        <f t="shared" si="3"/>
        <v>8103</v>
      </c>
      <c r="D34" s="89">
        <v>20044452</v>
      </c>
      <c r="E34" s="89">
        <f t="shared" si="11"/>
        <v>6915</v>
      </c>
      <c r="F34" s="89">
        <v>455471</v>
      </c>
      <c r="G34" s="89">
        <f t="shared" si="12"/>
        <v>121</v>
      </c>
      <c r="H34" s="90">
        <f t="shared" si="0"/>
        <v>15139</v>
      </c>
      <c r="I34" s="109">
        <f t="shared" si="1"/>
        <v>3027.8</v>
      </c>
      <c r="J34" s="91">
        <v>81007</v>
      </c>
      <c r="K34" s="89">
        <f t="shared" si="13"/>
        <v>105</v>
      </c>
      <c r="L34" s="75">
        <f t="shared" si="2"/>
        <v>823.19999999999993</v>
      </c>
      <c r="M34" s="88">
        <v>35855</v>
      </c>
      <c r="N34" s="89">
        <f t="shared" si="14"/>
        <v>20</v>
      </c>
      <c r="O34" s="89">
        <v>20612</v>
      </c>
      <c r="P34" s="92">
        <f t="shared" si="15"/>
        <v>14</v>
      </c>
      <c r="Q34" s="92">
        <f t="shared" si="4"/>
        <v>34</v>
      </c>
      <c r="R34" s="93">
        <v>52577</v>
      </c>
      <c r="S34" s="92">
        <f t="shared" si="16"/>
        <v>33</v>
      </c>
      <c r="T34" s="102">
        <f t="shared" si="5"/>
        <v>34.838100000000004</v>
      </c>
      <c r="U34" s="100">
        <f t="shared" si="6"/>
        <v>601.62700500000005</v>
      </c>
      <c r="V34" s="310">
        <v>67835</v>
      </c>
      <c r="W34" s="89">
        <f t="shared" si="31"/>
        <v>31</v>
      </c>
      <c r="X34" s="169">
        <f t="shared" si="29"/>
        <v>8814.6950000000015</v>
      </c>
      <c r="Y34" s="169">
        <f t="shared" si="7"/>
        <v>3034.0180190000005</v>
      </c>
      <c r="Z34" s="298">
        <f t="shared" si="8"/>
        <v>4384.9184166666664</v>
      </c>
      <c r="AA34" s="170">
        <f t="shared" si="9"/>
        <v>7418.9364356666665</v>
      </c>
      <c r="AB34" s="311">
        <v>6306651</v>
      </c>
      <c r="AC34" s="174">
        <f t="shared" si="18"/>
        <v>10444</v>
      </c>
      <c r="AD34" s="304">
        <v>1</v>
      </c>
      <c r="AE34" s="140">
        <v>355</v>
      </c>
      <c r="AF34" s="310">
        <v>13441394</v>
      </c>
      <c r="AG34" s="89">
        <f t="shared" si="19"/>
        <v>5658</v>
      </c>
      <c r="AH34" s="94">
        <f t="shared" si="20"/>
        <v>1131.6000000000001</v>
      </c>
      <c r="AI34" s="310">
        <v>6241763</v>
      </c>
      <c r="AJ34" s="89">
        <f t="shared" si="21"/>
        <v>2255</v>
      </c>
      <c r="AK34" s="94">
        <f t="shared" si="22"/>
        <v>451</v>
      </c>
      <c r="AL34" s="91">
        <v>128704</v>
      </c>
      <c r="AM34" s="89">
        <f t="shared" si="23"/>
        <v>430</v>
      </c>
      <c r="AN34" s="94">
        <f t="shared" si="24"/>
        <v>86</v>
      </c>
      <c r="AO34" s="91">
        <v>6340</v>
      </c>
      <c r="AP34" s="89">
        <f t="shared" si="30"/>
        <v>12</v>
      </c>
      <c r="AQ34" s="140">
        <f t="shared" si="25"/>
        <v>94.08</v>
      </c>
      <c r="AR34" s="88">
        <v>2791</v>
      </c>
      <c r="AS34" s="89">
        <f t="shared" si="26"/>
        <v>1</v>
      </c>
      <c r="AT34" s="94">
        <f t="shared" si="10"/>
        <v>7.84</v>
      </c>
      <c r="AU34" s="88">
        <v>137</v>
      </c>
      <c r="AV34" s="89">
        <f t="shared" si="27"/>
        <v>1</v>
      </c>
      <c r="AW34" s="94">
        <f t="shared" si="28"/>
        <v>7.84</v>
      </c>
    </row>
    <row r="35" spans="1:165" s="12" customFormat="1" ht="27.95" customHeight="1" thickBot="1" x14ac:dyDescent="0.3">
      <c r="A35" s="156"/>
      <c r="B35" s="76"/>
      <c r="C35" s="77">
        <f>SUM(C5:C34)</f>
        <v>235872</v>
      </c>
      <c r="D35" s="77"/>
      <c r="E35" s="77">
        <f>SUM(E5:E34)</f>
        <v>204519</v>
      </c>
      <c r="F35" s="78"/>
      <c r="G35" s="77">
        <f>SUM(G5:G34)</f>
        <v>3892</v>
      </c>
      <c r="H35" s="79">
        <f>SUM(H5:H34)</f>
        <v>444283</v>
      </c>
      <c r="I35" s="87">
        <f>H35*0.2</f>
        <v>88856.6</v>
      </c>
      <c r="J35" s="76"/>
      <c r="K35" s="77">
        <f>SUM(K5:K34)</f>
        <v>2856</v>
      </c>
      <c r="L35" s="87">
        <f>K35*7.84</f>
        <v>22391.040000000001</v>
      </c>
      <c r="M35" s="76"/>
      <c r="N35" s="79">
        <f>SUM(N5:N34)</f>
        <v>538</v>
      </c>
      <c r="O35" s="80"/>
      <c r="P35" s="79">
        <f>SUM(P5:P34)</f>
        <v>418</v>
      </c>
      <c r="Q35" s="79">
        <f>SUM(Q5:Q34)</f>
        <v>956</v>
      </c>
      <c r="R35" s="80"/>
      <c r="S35" s="80">
        <f>SUM(S5:S34)</f>
        <v>933</v>
      </c>
      <c r="T35" s="108">
        <f>SUM(T5:T34)</f>
        <v>984.96810000000073</v>
      </c>
      <c r="U35" s="86">
        <f>SUM(U5:U34)</f>
        <v>17383.877505</v>
      </c>
      <c r="V35" s="76"/>
      <c r="W35" s="77">
        <f>SUM(W5:W34)</f>
        <v>702</v>
      </c>
      <c r="X35" s="171">
        <f>SUM(X5:X34)</f>
        <v>199610.19</v>
      </c>
      <c r="Y35" s="172">
        <f>SUM(Y5:Y34)</f>
        <v>68705.827397999994</v>
      </c>
      <c r="Z35" s="172">
        <f>SUM(Z5:Z34)</f>
        <v>131547.55249999999</v>
      </c>
      <c r="AA35" s="86">
        <f>SUM(AA5:AA34)</f>
        <v>200253.37989800004</v>
      </c>
      <c r="AB35" s="173"/>
      <c r="AC35" s="312">
        <f>SUM(AC5:AC34)</f>
        <v>234673</v>
      </c>
      <c r="AD35" s="81">
        <f>AVERAGE(AD5:AD34)</f>
        <v>0.76201000000000008</v>
      </c>
      <c r="AE35" s="141">
        <f>SUM(AE5:AE34)</f>
        <v>10203</v>
      </c>
      <c r="AF35" s="76"/>
      <c r="AG35" s="146">
        <f>SUM(AG5:AG34)</f>
        <v>142323</v>
      </c>
      <c r="AH35" s="147">
        <f>SUM(AH5:AH34)</f>
        <v>28464.599999999995</v>
      </c>
      <c r="AI35" s="76"/>
      <c r="AJ35" s="146">
        <f>SUM(AJ5:AJ34)</f>
        <v>63746</v>
      </c>
      <c r="AK35" s="147">
        <f>SUM(AK5:AK34)</f>
        <v>12749.2</v>
      </c>
      <c r="AL35" s="76"/>
      <c r="AM35" s="146">
        <f>SUM(AM5:AM34)</f>
        <v>8572</v>
      </c>
      <c r="AN35" s="147">
        <f>SUM(AN5:AN34)</f>
        <v>1714.4</v>
      </c>
      <c r="AO35" s="76"/>
      <c r="AP35" s="146">
        <f>SUM(AP5:AP34)</f>
        <v>279</v>
      </c>
      <c r="AQ35" s="147">
        <f>SUM(AQ5:AQ34)</f>
        <v>2187.3599999999997</v>
      </c>
      <c r="AR35" s="76"/>
      <c r="AS35" s="146">
        <f>SUM(AS5:AS34)</f>
        <v>36</v>
      </c>
      <c r="AT35" s="147">
        <f>SUM(AT5:AT34)</f>
        <v>282.24000000000007</v>
      </c>
      <c r="AU35" s="76"/>
      <c r="AV35" s="146">
        <f>SUM(AV5:AV34)</f>
        <v>28</v>
      </c>
      <c r="AW35" s="147">
        <f>SUM(AW5:AW34)</f>
        <v>219.52000000000007</v>
      </c>
    </row>
    <row r="36" spans="1:165" s="8" customFormat="1" ht="22.5" customHeight="1" thickBot="1" x14ac:dyDescent="0.3">
      <c r="A36" s="215"/>
      <c r="B36" s="216"/>
      <c r="C36" s="216"/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7"/>
      <c r="V36" s="218" t="s">
        <v>24</v>
      </c>
      <c r="W36" s="219"/>
      <c r="X36" s="219"/>
      <c r="Y36" s="219"/>
      <c r="Z36" s="219"/>
      <c r="AA36" s="219"/>
      <c r="AB36" s="220"/>
      <c r="AC36" s="111"/>
      <c r="AD36" s="95"/>
      <c r="AE36" s="95"/>
      <c r="AF36" s="96"/>
      <c r="AG36" s="96"/>
      <c r="AH36" s="96"/>
    </row>
    <row r="37" spans="1:165" ht="27.95" customHeight="1" x14ac:dyDescent="0.25">
      <c r="A37" s="155"/>
      <c r="B37" s="221" t="s">
        <v>3</v>
      </c>
      <c r="C37" s="222"/>
      <c r="D37" s="222" t="s">
        <v>13</v>
      </c>
      <c r="E37" s="222"/>
      <c r="F37" s="222"/>
      <c r="G37" s="222" t="s">
        <v>14</v>
      </c>
      <c r="H37" s="222"/>
      <c r="I37" s="223"/>
      <c r="J37" s="224" t="s">
        <v>4</v>
      </c>
      <c r="K37" s="225"/>
      <c r="L37" s="45" t="s">
        <v>13</v>
      </c>
      <c r="M37" s="225" t="s">
        <v>48</v>
      </c>
      <c r="N37" s="226"/>
      <c r="O37" s="239" t="s">
        <v>25</v>
      </c>
      <c r="P37" s="240"/>
      <c r="Q37" s="240"/>
      <c r="R37" s="240" t="s">
        <v>13</v>
      </c>
      <c r="S37" s="240"/>
      <c r="T37" s="240" t="s">
        <v>48</v>
      </c>
      <c r="U37" s="241"/>
      <c r="V37" s="242" t="s">
        <v>15</v>
      </c>
      <c r="W37" s="243"/>
      <c r="X37" s="243" t="s">
        <v>13</v>
      </c>
      <c r="Y37" s="243"/>
      <c r="Z37" s="243" t="s">
        <v>16</v>
      </c>
      <c r="AA37" s="243"/>
      <c r="AB37" s="244"/>
      <c r="AC37" s="114"/>
      <c r="AD37" s="165"/>
      <c r="AE37" s="165"/>
      <c r="AF37"/>
      <c r="AG37" s="164">
        <f>131547.55*4</f>
        <v>526190.19999999995</v>
      </c>
      <c r="AH37" s="230" t="s">
        <v>90</v>
      </c>
      <c r="AI37" s="231"/>
      <c r="AJ37" s="231"/>
      <c r="AK37" s="23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</row>
    <row r="38" spans="1:165" s="11" customFormat="1" ht="27.95" customHeight="1" x14ac:dyDescent="0.25">
      <c r="A38" s="96"/>
      <c r="B38" s="233" t="s">
        <v>92</v>
      </c>
      <c r="C38" s="234"/>
      <c r="D38" s="235">
        <f>I35</f>
        <v>88856.6</v>
      </c>
      <c r="E38" s="235"/>
      <c r="F38" s="235"/>
      <c r="G38" s="236">
        <f t="shared" ref="G38:G43" si="32">D38/0.2</f>
        <v>444283</v>
      </c>
      <c r="H38" s="236"/>
      <c r="I38" s="237"/>
      <c r="J38" s="233" t="str">
        <f t="shared" ref="J38:J43" si="33">B38</f>
        <v>Actual April 2024</v>
      </c>
      <c r="K38" s="234"/>
      <c r="L38" s="42">
        <f>L35</f>
        <v>22391.040000000001</v>
      </c>
      <c r="M38" s="236">
        <f>K35</f>
        <v>2856</v>
      </c>
      <c r="N38" s="237"/>
      <c r="O38" s="233" t="str">
        <f t="shared" ref="O38:O43" si="34">B38</f>
        <v>Actual April 2024</v>
      </c>
      <c r="P38" s="234"/>
      <c r="Q38" s="234"/>
      <c r="R38" s="238">
        <f>U35</f>
        <v>17383.877505</v>
      </c>
      <c r="S38" s="238"/>
      <c r="T38" s="236">
        <f>T35</f>
        <v>984.96810000000073</v>
      </c>
      <c r="U38" s="237"/>
      <c r="V38" s="233" t="str">
        <f t="shared" ref="V38:V43" si="35">B38</f>
        <v>Actual April 2024</v>
      </c>
      <c r="W38" s="234"/>
      <c r="X38" s="235">
        <f>AA35</f>
        <v>200253.37989800004</v>
      </c>
      <c r="Y38" s="235"/>
      <c r="Z38" s="236">
        <f>X35</f>
        <v>199610.19</v>
      </c>
      <c r="AA38" s="236"/>
      <c r="AB38" s="237"/>
      <c r="AC38" s="112"/>
      <c r="AD38" s="115">
        <f>AC35</f>
        <v>234673</v>
      </c>
      <c r="AE38" s="116">
        <f>AD38-X35</f>
        <v>35062.81</v>
      </c>
      <c r="AF38" s="166"/>
      <c r="AG38" s="123">
        <f>126488.42*4</f>
        <v>505953.68</v>
      </c>
      <c r="AH38" s="230" t="s">
        <v>96</v>
      </c>
      <c r="AI38" s="231"/>
      <c r="AJ38" s="231"/>
      <c r="AK38" s="23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96"/>
      <c r="B39" s="233" t="s">
        <v>97</v>
      </c>
      <c r="C39" s="234"/>
      <c r="D39" s="245">
        <v>96390</v>
      </c>
      <c r="E39" s="245"/>
      <c r="F39" s="245"/>
      <c r="G39" s="236">
        <f t="shared" si="32"/>
        <v>481950</v>
      </c>
      <c r="H39" s="236"/>
      <c r="I39" s="237"/>
      <c r="J39" s="233" t="str">
        <f t="shared" si="33"/>
        <v>Budget April 2024</v>
      </c>
      <c r="K39" s="234"/>
      <c r="L39" s="39">
        <v>27770.25</v>
      </c>
      <c r="M39" s="236">
        <f>L39/7.84</f>
        <v>3542.1237244897961</v>
      </c>
      <c r="N39" s="237"/>
      <c r="O39" s="233" t="str">
        <f t="shared" si="34"/>
        <v>Budget April 2024</v>
      </c>
      <c r="P39" s="234"/>
      <c r="Q39" s="234"/>
      <c r="R39" s="246">
        <v>18465.23</v>
      </c>
      <c r="S39" s="246"/>
      <c r="T39" s="236">
        <f>(R39-6500)/11.05</f>
        <v>1082.8262443438914</v>
      </c>
      <c r="U39" s="237"/>
      <c r="V39" s="233" t="str">
        <f t="shared" si="35"/>
        <v>Budget April 2024</v>
      </c>
      <c r="W39" s="234"/>
      <c r="X39" s="245">
        <v>190126.07999999999</v>
      </c>
      <c r="Y39" s="245"/>
      <c r="Z39" s="236">
        <f>AG39/0.3442</f>
        <v>170187.47821034282</v>
      </c>
      <c r="AA39" s="236"/>
      <c r="AB39" s="237"/>
      <c r="AC39" s="113"/>
      <c r="AD39" s="159"/>
      <c r="AE39" s="160"/>
      <c r="AF39" s="162"/>
      <c r="AG39" s="117">
        <f>X39-131547.55</f>
        <v>58578.53</v>
      </c>
      <c r="AH39" s="230" t="s">
        <v>98</v>
      </c>
      <c r="AI39" s="231"/>
      <c r="AJ39" s="231"/>
      <c r="AK39" s="23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4" customFormat="1" ht="27.95" customHeight="1" x14ac:dyDescent="0.25">
      <c r="A40" s="110"/>
      <c r="B40" s="233" t="s">
        <v>99</v>
      </c>
      <c r="C40" s="234"/>
      <c r="D40" s="245">
        <v>88634.8</v>
      </c>
      <c r="E40" s="245"/>
      <c r="F40" s="245"/>
      <c r="G40" s="236">
        <f t="shared" si="32"/>
        <v>443174</v>
      </c>
      <c r="H40" s="236"/>
      <c r="I40" s="237"/>
      <c r="J40" s="233" t="str">
        <f t="shared" si="33"/>
        <v>Actual April 2023</v>
      </c>
      <c r="K40" s="234"/>
      <c r="L40" s="39">
        <v>21834.400000000001</v>
      </c>
      <c r="M40" s="236">
        <f>L40/7.84</f>
        <v>2785.0000000000005</v>
      </c>
      <c r="N40" s="237"/>
      <c r="O40" s="233" t="str">
        <f t="shared" si="34"/>
        <v>Actual April 2023</v>
      </c>
      <c r="P40" s="234"/>
      <c r="Q40" s="234"/>
      <c r="R40" s="246">
        <v>16226.35</v>
      </c>
      <c r="S40" s="246"/>
      <c r="T40" s="236">
        <f>(R40-6500)/11.05</f>
        <v>880.2126696832579</v>
      </c>
      <c r="U40" s="237"/>
      <c r="V40" s="233" t="str">
        <f t="shared" si="35"/>
        <v>Actual April 2023</v>
      </c>
      <c r="W40" s="234"/>
      <c r="X40" s="245">
        <v>182094.27</v>
      </c>
      <c r="Y40" s="245"/>
      <c r="Z40" s="236">
        <f>AG40/0.3435</f>
        <v>161880.20378457056</v>
      </c>
      <c r="AA40" s="236"/>
      <c r="AB40" s="237"/>
      <c r="AC40" s="113"/>
      <c r="AD40" s="161"/>
      <c r="AE40" s="11"/>
      <c r="AF40" s="162"/>
      <c r="AG40" s="118">
        <f>X40-126488.42</f>
        <v>55605.849999999991</v>
      </c>
      <c r="AH40" s="230" t="s">
        <v>100</v>
      </c>
      <c r="AI40" s="231"/>
      <c r="AJ40" s="231"/>
      <c r="AK40" s="23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1" customFormat="1" ht="27" customHeight="1" x14ac:dyDescent="0.25">
      <c r="A41" s="96"/>
      <c r="B41" s="233" t="s">
        <v>66</v>
      </c>
      <c r="C41" s="234"/>
      <c r="D41" s="235">
        <f>D38+261444.2</f>
        <v>350300.80000000005</v>
      </c>
      <c r="E41" s="235"/>
      <c r="F41" s="235"/>
      <c r="G41" s="236">
        <f t="shared" si="32"/>
        <v>1751504.0000000002</v>
      </c>
      <c r="H41" s="236"/>
      <c r="I41" s="237"/>
      <c r="J41" s="233" t="str">
        <f t="shared" si="33"/>
        <v>Actual YTD 2024</v>
      </c>
      <c r="K41" s="234"/>
      <c r="L41" s="42">
        <f>L38+72974.72</f>
        <v>95365.760000000009</v>
      </c>
      <c r="M41" s="236">
        <f>L41/7.84</f>
        <v>12164.000000000002</v>
      </c>
      <c r="N41" s="237"/>
      <c r="O41" s="250" t="str">
        <f t="shared" si="34"/>
        <v>Actual YTD 2024</v>
      </c>
      <c r="P41" s="251"/>
      <c r="Q41" s="252"/>
      <c r="R41" s="238">
        <f>R38+53103.56</f>
        <v>70487.437504999994</v>
      </c>
      <c r="S41" s="238"/>
      <c r="T41" s="236">
        <f>(R41-6500*4)/11.05</f>
        <v>4026.0124438914017</v>
      </c>
      <c r="U41" s="237"/>
      <c r="V41" s="233" t="str">
        <f t="shared" si="35"/>
        <v>Actual YTD 2024</v>
      </c>
      <c r="W41" s="234"/>
      <c r="X41" s="235">
        <f>X38+551946.11</f>
        <v>752199.48989800003</v>
      </c>
      <c r="Y41" s="235"/>
      <c r="Z41" s="236">
        <f>AG41/0.3442</f>
        <v>656621.99273097061</v>
      </c>
      <c r="AA41" s="236"/>
      <c r="AB41" s="237"/>
      <c r="AC41" s="113"/>
      <c r="AD41" s="161"/>
      <c r="AF41" s="162"/>
      <c r="AG41" s="117">
        <f>X41-AG37</f>
        <v>226009.28989800008</v>
      </c>
      <c r="AH41" s="230" t="s">
        <v>91</v>
      </c>
      <c r="AI41" s="231"/>
      <c r="AJ41" s="231"/>
      <c r="AK41" s="23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.95" customHeight="1" x14ac:dyDescent="0.25">
      <c r="A42" s="96"/>
      <c r="B42" s="233" t="s">
        <v>101</v>
      </c>
      <c r="C42" s="234"/>
      <c r="D42" s="245">
        <f>D39+286618.5</f>
        <v>383008.5</v>
      </c>
      <c r="E42" s="245"/>
      <c r="F42" s="245"/>
      <c r="G42" s="236">
        <f t="shared" si="32"/>
        <v>1915042.5</v>
      </c>
      <c r="H42" s="236"/>
      <c r="I42" s="237"/>
      <c r="J42" s="233" t="str">
        <f t="shared" si="33"/>
        <v>Budget YTD 2024</v>
      </c>
      <c r="K42" s="234"/>
      <c r="L42" s="39">
        <f>L39+73011.82</f>
        <v>100782.07</v>
      </c>
      <c r="M42" s="236">
        <f>L42/7.84</f>
        <v>12854.85586734694</v>
      </c>
      <c r="N42" s="237"/>
      <c r="O42" s="233" t="str">
        <f t="shared" si="34"/>
        <v>Budget YTD 2024</v>
      </c>
      <c r="P42" s="234"/>
      <c r="Q42" s="234"/>
      <c r="R42" s="246">
        <f>R39+55046.56</f>
        <v>73511.789999999994</v>
      </c>
      <c r="S42" s="246"/>
      <c r="T42" s="236">
        <f>(R42-6500*4)/11.05</f>
        <v>4299.7095022624426</v>
      </c>
      <c r="U42" s="237"/>
      <c r="V42" s="233" t="str">
        <f t="shared" si="35"/>
        <v>Budget YTD 2024</v>
      </c>
      <c r="W42" s="234"/>
      <c r="X42" s="245">
        <f>X39+558585.27</f>
        <v>748711.35</v>
      </c>
      <c r="Y42" s="245"/>
      <c r="Z42" s="247">
        <f>AG42/0.3442</f>
        <v>646487.94305636268</v>
      </c>
      <c r="AA42" s="248"/>
      <c r="AB42" s="249"/>
      <c r="AC42" s="113"/>
      <c r="AD42" s="161"/>
      <c r="AF42" s="162"/>
      <c r="AG42" s="117">
        <f>X42-AG37</f>
        <v>222521.15000000002</v>
      </c>
      <c r="AH42" s="230" t="s">
        <v>102</v>
      </c>
      <c r="AI42" s="231"/>
      <c r="AJ42" s="231"/>
      <c r="AK42" s="23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thickBot="1" x14ac:dyDescent="0.3">
      <c r="A43" s="85"/>
      <c r="B43" s="253" t="s">
        <v>103</v>
      </c>
      <c r="C43" s="254"/>
      <c r="D43" s="255">
        <v>369445.4</v>
      </c>
      <c r="E43" s="255"/>
      <c r="F43" s="255"/>
      <c r="G43" s="256">
        <f t="shared" si="32"/>
        <v>1847227</v>
      </c>
      <c r="H43" s="256"/>
      <c r="I43" s="257"/>
      <c r="J43" s="253" t="str">
        <f t="shared" si="33"/>
        <v>Actual YTD 2023</v>
      </c>
      <c r="K43" s="254"/>
      <c r="L43" s="43">
        <v>84875.839999999997</v>
      </c>
      <c r="M43" s="256">
        <f>L43/7.84</f>
        <v>10826</v>
      </c>
      <c r="N43" s="257"/>
      <c r="O43" s="253" t="str">
        <f t="shared" si="34"/>
        <v>Actual YTD 2023</v>
      </c>
      <c r="P43" s="254"/>
      <c r="Q43" s="254"/>
      <c r="R43" s="269">
        <v>64267.32</v>
      </c>
      <c r="S43" s="269"/>
      <c r="T43" s="256">
        <f>(R43-6500*4)/11.05</f>
        <v>3463.1058823529411</v>
      </c>
      <c r="U43" s="257"/>
      <c r="V43" s="253" t="str">
        <f t="shared" si="35"/>
        <v>Actual YTD 2023</v>
      </c>
      <c r="W43" s="254"/>
      <c r="X43" s="255">
        <v>712572.77</v>
      </c>
      <c r="Y43" s="255"/>
      <c r="Z43" s="256">
        <f>AG43/0.3435</f>
        <v>601511.17903930135</v>
      </c>
      <c r="AA43" s="256"/>
      <c r="AB43" s="257"/>
      <c r="AC43" s="113"/>
      <c r="AD43" s="161"/>
      <c r="AF43" s="162"/>
      <c r="AG43" s="119">
        <f>X43-AG38</f>
        <v>206619.09000000003</v>
      </c>
      <c r="AH43" s="230" t="s">
        <v>104</v>
      </c>
      <c r="AI43" s="231"/>
      <c r="AJ43" s="231"/>
      <c r="AK43" s="232"/>
      <c r="AL43" s="8"/>
      <c r="AM43" s="8"/>
      <c r="AN43" s="8"/>
      <c r="AO43" s="8"/>
      <c r="AP43" s="8"/>
    </row>
    <row r="44" spans="1:165" ht="27.95" customHeight="1" x14ac:dyDescent="0.25">
      <c r="G44" s="136"/>
      <c r="H44" s="136">
        <v>45383</v>
      </c>
      <c r="I44" s="82">
        <f ca="1">TODAY()</f>
        <v>45798</v>
      </c>
      <c r="J44" s="9">
        <v>30</v>
      </c>
      <c r="T44" s="2"/>
      <c r="U44" s="2"/>
      <c r="V44" s="2"/>
      <c r="W44" s="2"/>
      <c r="X44" s="2"/>
      <c r="Y44" s="2"/>
      <c r="AB44"/>
      <c r="AC44"/>
      <c r="AD44" s="163"/>
      <c r="AE44" s="163"/>
      <c r="AF44" s="163"/>
      <c r="AG44" s="158"/>
      <c r="AH44" s="158"/>
      <c r="AI44" s="157"/>
      <c r="AJ44" s="8"/>
      <c r="AK44" s="8"/>
      <c r="AL44" s="8"/>
      <c r="AM44" s="8"/>
      <c r="AN44" s="8"/>
      <c r="AO44" s="8"/>
      <c r="AP44" s="8"/>
      <c r="AQ44"/>
    </row>
    <row r="45" spans="1:165" ht="27.95" customHeight="1" x14ac:dyDescent="0.25">
      <c r="A45" s="258" t="s">
        <v>26</v>
      </c>
      <c r="B45" s="259"/>
      <c r="D45" s="260" t="s">
        <v>27</v>
      </c>
      <c r="E45" s="261"/>
      <c r="F45" s="261"/>
      <c r="G45" s="262"/>
      <c r="H45" s="48"/>
      <c r="I45" s="263" t="s">
        <v>28</v>
      </c>
      <c r="J45" s="264"/>
      <c r="K45" s="264"/>
      <c r="L45" s="265"/>
      <c r="M45" s="49"/>
      <c r="N45" s="260" t="s">
        <v>29</v>
      </c>
      <c r="O45" s="261"/>
      <c r="P45" s="261"/>
      <c r="Q45" s="261"/>
      <c r="R45" s="261"/>
      <c r="S45" s="262"/>
      <c r="T45" s="2"/>
      <c r="U45" s="260" t="s">
        <v>30</v>
      </c>
      <c r="V45" s="261"/>
      <c r="W45" s="261"/>
      <c r="X45" s="262"/>
      <c r="Y45"/>
      <c r="Z45" s="260" t="s">
        <v>50</v>
      </c>
      <c r="AA45" s="261"/>
      <c r="AB45" s="262"/>
      <c r="AC45"/>
      <c r="AD45" s="266" t="s">
        <v>51</v>
      </c>
      <c r="AE45" s="267"/>
      <c r="AF45" s="268"/>
      <c r="AG45" s="132" t="s">
        <v>52</v>
      </c>
      <c r="AH45" s="41" t="s">
        <v>53</v>
      </c>
      <c r="AI45" s="8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62" t="s">
        <v>3</v>
      </c>
      <c r="B46" s="63">
        <f>D39</f>
        <v>96390</v>
      </c>
      <c r="C46" s="10"/>
      <c r="D46" s="270" t="s">
        <v>3</v>
      </c>
      <c r="E46" s="271"/>
      <c r="F46" s="271"/>
      <c r="G46" s="40">
        <f>B46/30</f>
        <v>3213</v>
      </c>
      <c r="H46" s="137"/>
      <c r="I46" s="270" t="s">
        <v>3</v>
      </c>
      <c r="J46" s="271"/>
      <c r="K46" s="271"/>
      <c r="L46" s="120">
        <f>I35/J44</f>
        <v>2961.8866666666668</v>
      </c>
      <c r="M46" s="50"/>
      <c r="N46" s="270" t="s">
        <v>3</v>
      </c>
      <c r="O46" s="271"/>
      <c r="P46" s="271"/>
      <c r="Q46" s="271"/>
      <c r="R46" s="272">
        <f>G46*J44</f>
        <v>96390</v>
      </c>
      <c r="S46" s="273"/>
      <c r="T46" s="51"/>
      <c r="U46" s="270" t="s">
        <v>3</v>
      </c>
      <c r="V46" s="271"/>
      <c r="W46" s="274">
        <f>I35</f>
        <v>88856.6</v>
      </c>
      <c r="X46" s="275"/>
      <c r="Y46" s="52">
        <f>R46-W46</f>
        <v>7533.3999999999942</v>
      </c>
      <c r="Z46" s="270" t="s">
        <v>3</v>
      </c>
      <c r="AA46" s="271"/>
      <c r="AB46" s="124">
        <f>R46+286618.5</f>
        <v>383008.5</v>
      </c>
      <c r="AC46"/>
      <c r="AD46" s="270" t="s">
        <v>3</v>
      </c>
      <c r="AE46" s="271"/>
      <c r="AF46" s="126">
        <f>W46+261444.2</f>
        <v>350300.80000000005</v>
      </c>
      <c r="AG46" s="127">
        <f>AB46-AF46</f>
        <v>32707.699999999953</v>
      </c>
      <c r="AH46" s="128">
        <f>AF46-AB46</f>
        <v>-32707.699999999953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4</v>
      </c>
      <c r="B47" s="63">
        <f>L39</f>
        <v>27770.25</v>
      </c>
      <c r="C47" s="10"/>
      <c r="D47" s="270" t="s">
        <v>4</v>
      </c>
      <c r="E47" s="271"/>
      <c r="F47" s="271"/>
      <c r="G47" s="40">
        <f>B47/30</f>
        <v>925.67499999999995</v>
      </c>
      <c r="H47" s="137"/>
      <c r="I47" s="270" t="s">
        <v>4</v>
      </c>
      <c r="J47" s="271"/>
      <c r="K47" s="271"/>
      <c r="L47" s="121">
        <f>L35/J44</f>
        <v>746.36800000000005</v>
      </c>
      <c r="M47" s="50"/>
      <c r="N47" s="270" t="s">
        <v>4</v>
      </c>
      <c r="O47" s="271"/>
      <c r="P47" s="271"/>
      <c r="Q47" s="271"/>
      <c r="R47" s="272">
        <f>G47*J44</f>
        <v>27770.25</v>
      </c>
      <c r="S47" s="273"/>
      <c r="T47" s="51"/>
      <c r="U47" s="270" t="s">
        <v>4</v>
      </c>
      <c r="V47" s="271"/>
      <c r="W47" s="274">
        <f>L35</f>
        <v>22391.040000000001</v>
      </c>
      <c r="X47" s="275"/>
      <c r="Y47" s="52">
        <f>R47-W47</f>
        <v>5379.2099999999991</v>
      </c>
      <c r="Z47" s="270" t="s">
        <v>4</v>
      </c>
      <c r="AA47" s="271"/>
      <c r="AB47" s="124">
        <f>R47+73011.82</f>
        <v>100782.07</v>
      </c>
      <c r="AC47"/>
      <c r="AD47" s="270" t="s">
        <v>4</v>
      </c>
      <c r="AE47" s="271"/>
      <c r="AF47" s="126">
        <f>W47+72974.72</f>
        <v>95365.760000000009</v>
      </c>
      <c r="AG47" s="127">
        <f>AB47-AF47</f>
        <v>5416.3099999999977</v>
      </c>
      <c r="AH47" s="128">
        <f>AF47-AB47</f>
        <v>-5416.3099999999977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25</v>
      </c>
      <c r="B48" s="63">
        <f>R39</f>
        <v>18465.23</v>
      </c>
      <c r="C48" s="10"/>
      <c r="D48" s="270" t="s">
        <v>25</v>
      </c>
      <c r="E48" s="271"/>
      <c r="F48" s="271"/>
      <c r="G48" s="40">
        <f>B48/30</f>
        <v>615.50766666666664</v>
      </c>
      <c r="H48" s="50"/>
      <c r="I48" s="270" t="s">
        <v>25</v>
      </c>
      <c r="J48" s="271"/>
      <c r="K48" s="271"/>
      <c r="L48" s="121">
        <f>U35/J44</f>
        <v>579.46258350000005</v>
      </c>
      <c r="M48" s="50"/>
      <c r="N48" s="270" t="s">
        <v>25</v>
      </c>
      <c r="O48" s="271"/>
      <c r="P48" s="271"/>
      <c r="Q48" s="271"/>
      <c r="R48" s="272">
        <f>G48*J44</f>
        <v>18465.23</v>
      </c>
      <c r="S48" s="273"/>
      <c r="T48" s="51"/>
      <c r="U48" s="270" t="s">
        <v>25</v>
      </c>
      <c r="V48" s="271"/>
      <c r="W48" s="274">
        <f>U35</f>
        <v>17383.877505</v>
      </c>
      <c r="X48" s="275"/>
      <c r="Y48" s="52">
        <f>R48-W48</f>
        <v>1081.3524949999992</v>
      </c>
      <c r="Z48" s="270" t="s">
        <v>25</v>
      </c>
      <c r="AA48" s="271"/>
      <c r="AB48" s="124">
        <f>R48+55046.56</f>
        <v>73511.789999999994</v>
      </c>
      <c r="AC48"/>
      <c r="AD48" s="270" t="s">
        <v>25</v>
      </c>
      <c r="AE48" s="271"/>
      <c r="AF48" s="126">
        <f>W48+53103.56</f>
        <v>70487.437504999994</v>
      </c>
      <c r="AG48" s="127">
        <f>AB48-AF48</f>
        <v>3024.3524949999992</v>
      </c>
      <c r="AH48" s="128">
        <f>AF48-AB48</f>
        <v>-3024.3524949999992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4" t="s">
        <v>15</v>
      </c>
      <c r="B49" s="65">
        <f>X39</f>
        <v>190126.07999999999</v>
      </c>
      <c r="C49" s="61"/>
      <c r="D49" s="276" t="s">
        <v>15</v>
      </c>
      <c r="E49" s="277"/>
      <c r="F49" s="277"/>
      <c r="G49" s="38">
        <f>B49/30</f>
        <v>6337.5359999999991</v>
      </c>
      <c r="H49" s="53"/>
      <c r="I49" s="276" t="s">
        <v>15</v>
      </c>
      <c r="J49" s="277"/>
      <c r="K49" s="277"/>
      <c r="L49" s="122">
        <f>AA35/J44</f>
        <v>6675.1126632666683</v>
      </c>
      <c r="M49" s="53"/>
      <c r="N49" s="276" t="s">
        <v>15</v>
      </c>
      <c r="O49" s="277"/>
      <c r="P49" s="277"/>
      <c r="Q49" s="277"/>
      <c r="R49" s="278">
        <f>G49*J44</f>
        <v>190126.07999999999</v>
      </c>
      <c r="S49" s="279"/>
      <c r="T49" s="51"/>
      <c r="U49" s="276" t="s">
        <v>15</v>
      </c>
      <c r="V49" s="277"/>
      <c r="W49" s="280">
        <f>AA35</f>
        <v>200253.37989800004</v>
      </c>
      <c r="X49" s="281"/>
      <c r="Y49" s="52">
        <f>R49-W49</f>
        <v>-10127.299898000056</v>
      </c>
      <c r="Z49" s="276" t="s">
        <v>15</v>
      </c>
      <c r="AA49" s="277"/>
      <c r="AB49" s="65">
        <f>R49+558585.27</f>
        <v>748711.35</v>
      </c>
      <c r="AC49"/>
      <c r="AD49" s="276" t="s">
        <v>15</v>
      </c>
      <c r="AE49" s="277"/>
      <c r="AF49" s="133">
        <f>W49+551946.11</f>
        <v>752199.48989800003</v>
      </c>
      <c r="AG49" s="134">
        <f>AB49-AF49</f>
        <v>-3488.1398980000522</v>
      </c>
      <c r="AH49" s="135">
        <f>AF49-AB49</f>
        <v>3488.1398980000522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B50" s="54">
        <f>SUM(B46:B49)</f>
        <v>332751.56</v>
      </c>
      <c r="C50" s="10"/>
      <c r="D50" s="10"/>
      <c r="E50" s="10"/>
      <c r="F50" s="55"/>
      <c r="G50" s="55"/>
      <c r="H50" s="55"/>
      <c r="I50" s="55"/>
      <c r="J50" s="55"/>
      <c r="K50" s="55"/>
      <c r="L50" s="53"/>
      <c r="M50" s="53"/>
      <c r="N50" s="53"/>
      <c r="O50" s="53"/>
      <c r="P50" s="53"/>
      <c r="Q50" s="53"/>
      <c r="R50" s="282">
        <f>SUM(R46:S49)</f>
        <v>332751.56</v>
      </c>
      <c r="S50" s="282"/>
      <c r="T50" s="56"/>
      <c r="U50" s="56"/>
      <c r="V50" s="56"/>
      <c r="W50" s="282">
        <f>SUM(W46:X49)</f>
        <v>328884.89740300004</v>
      </c>
      <c r="X50" s="282"/>
      <c r="Y50" s="52">
        <f>R50-W50</f>
        <v>3866.6625969999586</v>
      </c>
      <c r="Z50" s="283"/>
      <c r="AA50" s="283" t="s">
        <v>54</v>
      </c>
      <c r="AB50" s="125">
        <f>SUM(AB46:AB49)</f>
        <v>1306013.71</v>
      </c>
      <c r="AD50" s="129"/>
      <c r="AF50" s="125">
        <f>SUM(AF46:AF49)</f>
        <v>1268353.487403</v>
      </c>
      <c r="AG50" s="130">
        <f>AB50-AF50</f>
        <v>37660.222596999956</v>
      </c>
      <c r="AH50" s="125"/>
      <c r="AI50" s="130"/>
      <c r="AJ50" s="130"/>
      <c r="AK50" s="130"/>
      <c r="AL50" s="131"/>
      <c r="AM50" s="131"/>
      <c r="AN50" s="131"/>
      <c r="AO50"/>
      <c r="AP50"/>
      <c r="AQ50"/>
    </row>
    <row r="51" spans="1:43" ht="27.95" customHeight="1" x14ac:dyDescent="0.25">
      <c r="B51" s="54">
        <f>B50*X51</f>
        <v>3866.6625969999459</v>
      </c>
      <c r="C51" s="10"/>
      <c r="D51" s="10"/>
      <c r="E51" s="10"/>
      <c r="F51" s="10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1"/>
      <c r="U51" s="51"/>
      <c r="V51" s="51"/>
      <c r="W51" s="57"/>
      <c r="X51" s="58">
        <f>1-(W50/R50)</f>
        <v>1.1620268878679174E-2</v>
      </c>
      <c r="Y51" s="59"/>
      <c r="Z51"/>
      <c r="AA51"/>
      <c r="AB51"/>
      <c r="AC51"/>
      <c r="AD51"/>
      <c r="AE51"/>
      <c r="AF51" s="58">
        <f>1-(AF50/AB50)</f>
        <v>2.8836008618163711E-2</v>
      </c>
      <c r="AG51"/>
      <c r="AH51"/>
      <c r="AI51"/>
      <c r="AJ51"/>
      <c r="AK51"/>
      <c r="AL51"/>
      <c r="AM51"/>
      <c r="AN51"/>
      <c r="AO51"/>
      <c r="AP51"/>
      <c r="AQ51"/>
    </row>
    <row r="52" spans="1:43" ht="27.95" customHeight="1" x14ac:dyDescent="0.25">
      <c r="B52" s="47"/>
      <c r="T52" s="2"/>
      <c r="U52" s="2"/>
      <c r="V52" s="2"/>
      <c r="W52" s="2"/>
      <c r="X52" s="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A53" s="258" t="s">
        <v>40</v>
      </c>
      <c r="B53" s="259"/>
      <c r="D53" s="260" t="s">
        <v>41</v>
      </c>
      <c r="E53" s="261"/>
      <c r="F53" s="261"/>
      <c r="G53" s="262"/>
      <c r="H53" s="48"/>
      <c r="I53" s="263" t="s">
        <v>42</v>
      </c>
      <c r="J53" s="264"/>
      <c r="K53" s="264"/>
      <c r="L53" s="265"/>
      <c r="M53" s="49"/>
      <c r="N53" s="260" t="s">
        <v>30</v>
      </c>
      <c r="O53" s="261"/>
      <c r="P53" s="261"/>
      <c r="Q53" s="261"/>
      <c r="R53" s="261"/>
      <c r="S53" s="262"/>
      <c r="T53" s="2"/>
      <c r="U53" s="260" t="s">
        <v>43</v>
      </c>
      <c r="V53" s="261"/>
      <c r="W53" s="261"/>
      <c r="X53" s="262"/>
      <c r="Y53"/>
      <c r="Z53" s="73" t="s">
        <v>44</v>
      </c>
      <c r="AA53" s="74" t="s">
        <v>45</v>
      </c>
      <c r="AB53"/>
      <c r="AC53"/>
      <c r="AD53" s="71" t="s">
        <v>47</v>
      </c>
      <c r="AE53" s="72" t="s">
        <v>46</v>
      </c>
      <c r="AF53" s="149"/>
      <c r="AG53" s="149"/>
      <c r="AH53" s="149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62" t="s">
        <v>3</v>
      </c>
      <c r="B54" s="63">
        <f>D40</f>
        <v>88634.8</v>
      </c>
      <c r="C54" s="10"/>
      <c r="D54" s="270" t="s">
        <v>3</v>
      </c>
      <c r="E54" s="271"/>
      <c r="F54" s="271"/>
      <c r="G54" s="40">
        <f>B54/30</f>
        <v>2954.4933333333333</v>
      </c>
      <c r="H54" s="50"/>
      <c r="I54" s="270" t="s">
        <v>3</v>
      </c>
      <c r="J54" s="271"/>
      <c r="K54" s="271"/>
      <c r="L54" s="66">
        <f>G54*J44</f>
        <v>88634.8</v>
      </c>
      <c r="M54" s="50"/>
      <c r="N54" s="270" t="s">
        <v>3</v>
      </c>
      <c r="O54" s="271"/>
      <c r="P54" s="271"/>
      <c r="Q54" s="271"/>
      <c r="R54" s="284">
        <f>W46</f>
        <v>88856.6</v>
      </c>
      <c r="S54" s="285"/>
      <c r="T54" s="51"/>
      <c r="U54" s="270" t="s">
        <v>3</v>
      </c>
      <c r="V54" s="271"/>
      <c r="W54" s="274">
        <f>L54-R54</f>
        <v>-221.80000000000291</v>
      </c>
      <c r="X54" s="275"/>
      <c r="Y54" s="52"/>
      <c r="Z54" s="107">
        <f>L46*30</f>
        <v>88856.6</v>
      </c>
      <c r="AA54" s="70">
        <f>Z54+261444.2</f>
        <v>350300.80000000005</v>
      </c>
      <c r="AB54" s="10"/>
      <c r="AC54" s="10"/>
      <c r="AD54" s="313">
        <f>D40-Z54</f>
        <v>-221.80000000000291</v>
      </c>
      <c r="AE54" s="68">
        <f>D43-AA54</f>
        <v>19144.599999999977</v>
      </c>
      <c r="AF54" s="150"/>
      <c r="AG54" s="150"/>
      <c r="AH54" s="150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4</v>
      </c>
      <c r="B55" s="63">
        <f>L40</f>
        <v>21834.400000000001</v>
      </c>
      <c r="C55" s="10"/>
      <c r="D55" s="270" t="s">
        <v>4</v>
      </c>
      <c r="E55" s="271"/>
      <c r="F55" s="271"/>
      <c r="G55" s="40">
        <f>B55/30</f>
        <v>727.81333333333339</v>
      </c>
      <c r="H55" s="50"/>
      <c r="I55" s="270" t="s">
        <v>4</v>
      </c>
      <c r="J55" s="271"/>
      <c r="K55" s="271"/>
      <c r="L55" s="66">
        <f>G55*J44</f>
        <v>21834.400000000001</v>
      </c>
      <c r="M55" s="50"/>
      <c r="N55" s="270" t="s">
        <v>4</v>
      </c>
      <c r="O55" s="271"/>
      <c r="P55" s="271"/>
      <c r="Q55" s="271"/>
      <c r="R55" s="284">
        <f>W47</f>
        <v>22391.040000000001</v>
      </c>
      <c r="S55" s="285"/>
      <c r="T55" s="51"/>
      <c r="U55" s="270" t="s">
        <v>4</v>
      </c>
      <c r="V55" s="271"/>
      <c r="W55" s="274">
        <f>L55-R55</f>
        <v>-556.63999999999942</v>
      </c>
      <c r="X55" s="275"/>
      <c r="Y55" s="52"/>
      <c r="Z55" s="107">
        <f>L47*30</f>
        <v>22391.040000000001</v>
      </c>
      <c r="AA55" s="68">
        <f>Z55+72974.72</f>
        <v>95365.760000000009</v>
      </c>
      <c r="AB55" s="10"/>
      <c r="AC55" s="10"/>
      <c r="AD55" s="313">
        <f>L40-Z55</f>
        <v>-556.63999999999942</v>
      </c>
      <c r="AE55" s="68">
        <f>L43-AA55</f>
        <v>-10489.920000000013</v>
      </c>
      <c r="AF55" s="150"/>
      <c r="AG55" s="150"/>
      <c r="AH55" s="150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25</v>
      </c>
      <c r="B56" s="63">
        <f>R40</f>
        <v>16226.35</v>
      </c>
      <c r="C56" s="10"/>
      <c r="D56" s="270" t="s">
        <v>25</v>
      </c>
      <c r="E56" s="271"/>
      <c r="F56" s="271"/>
      <c r="G56" s="40">
        <f>B56/30</f>
        <v>540.87833333333333</v>
      </c>
      <c r="H56" s="50"/>
      <c r="I56" s="270" t="s">
        <v>25</v>
      </c>
      <c r="J56" s="271"/>
      <c r="K56" s="271"/>
      <c r="L56" s="66">
        <f>G56*J44</f>
        <v>16226.35</v>
      </c>
      <c r="M56" s="50"/>
      <c r="N56" s="270" t="s">
        <v>25</v>
      </c>
      <c r="O56" s="271"/>
      <c r="P56" s="271"/>
      <c r="Q56" s="271"/>
      <c r="R56" s="284">
        <f>W48</f>
        <v>17383.877505</v>
      </c>
      <c r="S56" s="285"/>
      <c r="T56" s="51"/>
      <c r="U56" s="270" t="s">
        <v>25</v>
      </c>
      <c r="V56" s="271"/>
      <c r="W56" s="274">
        <f>L56-R56</f>
        <v>-1157.527505</v>
      </c>
      <c r="X56" s="275"/>
      <c r="Y56" s="52"/>
      <c r="Z56" s="107">
        <f>L48*30</f>
        <v>17383.877505</v>
      </c>
      <c r="AA56" s="68">
        <f>Z56+53103.56</f>
        <v>70487.437504999994</v>
      </c>
      <c r="AB56" s="10"/>
      <c r="AC56" s="10"/>
      <c r="AD56" s="313">
        <f>R40-Z56</f>
        <v>-1157.527505</v>
      </c>
      <c r="AE56" s="68">
        <f>R43-AA56</f>
        <v>-6220.1175049999947</v>
      </c>
      <c r="AF56" s="150"/>
      <c r="AG56" s="150"/>
      <c r="AH56" s="150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4" t="s">
        <v>15</v>
      </c>
      <c r="B57" s="65">
        <f>X40</f>
        <v>182094.27</v>
      </c>
      <c r="C57" s="61"/>
      <c r="D57" s="276" t="s">
        <v>15</v>
      </c>
      <c r="E57" s="277"/>
      <c r="F57" s="277"/>
      <c r="G57" s="38">
        <f>B57/30</f>
        <v>6069.8089999999993</v>
      </c>
      <c r="H57" s="53"/>
      <c r="I57" s="276" t="s">
        <v>15</v>
      </c>
      <c r="J57" s="277"/>
      <c r="K57" s="277"/>
      <c r="L57" s="67">
        <f>G57*J44</f>
        <v>182094.27</v>
      </c>
      <c r="M57" s="53"/>
      <c r="N57" s="276" t="s">
        <v>15</v>
      </c>
      <c r="O57" s="277"/>
      <c r="P57" s="277"/>
      <c r="Q57" s="277"/>
      <c r="R57" s="286">
        <f>W49</f>
        <v>200253.37989800004</v>
      </c>
      <c r="S57" s="287"/>
      <c r="T57" s="51"/>
      <c r="U57" s="276" t="s">
        <v>15</v>
      </c>
      <c r="V57" s="277"/>
      <c r="W57" s="280">
        <f>L57-R57</f>
        <v>-18159.109898000053</v>
      </c>
      <c r="X57" s="281"/>
      <c r="Y57" s="52"/>
      <c r="Z57" s="107">
        <f>L49*30</f>
        <v>200253.37989800004</v>
      </c>
      <c r="AA57" s="68">
        <f>Z57+551946.11</f>
        <v>752199.48989800003</v>
      </c>
      <c r="AB57" s="10"/>
      <c r="AC57" s="10"/>
      <c r="AD57" s="313">
        <f>X40-Z57</f>
        <v>-18159.109898000053</v>
      </c>
      <c r="AE57" s="68">
        <f>Z43-AA57</f>
        <v>-150688.31085869868</v>
      </c>
      <c r="AF57" s="150"/>
      <c r="AG57" s="150"/>
      <c r="AH57" s="150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10"/>
      <c r="B58" s="54">
        <f>SUM(B54:B57)</f>
        <v>308789.82</v>
      </c>
      <c r="C58" s="10"/>
      <c r="D58" s="10"/>
      <c r="E58" s="10"/>
      <c r="F58" s="55"/>
      <c r="G58" s="55"/>
      <c r="H58" s="55"/>
      <c r="I58" s="55"/>
      <c r="J58" s="55"/>
      <c r="K58" s="55"/>
      <c r="L58" s="60">
        <f>SUM(L54:L57)</f>
        <v>308789.82</v>
      </c>
      <c r="M58" s="53"/>
      <c r="N58" s="53"/>
      <c r="O58" s="53"/>
      <c r="P58" s="53"/>
      <c r="Q58" s="53"/>
      <c r="R58" s="282">
        <f>SUM(R54:S57)</f>
        <v>328884.89740300004</v>
      </c>
      <c r="S58" s="282"/>
      <c r="T58" s="56"/>
      <c r="U58" s="56"/>
      <c r="V58" s="56"/>
      <c r="W58" s="282">
        <f>SUM(W54:X57)</f>
        <v>-20095.077403000054</v>
      </c>
      <c r="X58" s="282"/>
      <c r="Y58" s="52"/>
      <c r="Z58" s="167">
        <f>SUM(Z54:Z57)</f>
        <v>328884.89740300004</v>
      </c>
      <c r="AA58" s="69">
        <f>SUM(AA54:AA57)</f>
        <v>1268353.487403</v>
      </c>
      <c r="AB58" s="10"/>
      <c r="AC58" s="10"/>
      <c r="AD58" s="314">
        <f>SUM(AD54:AD57)</f>
        <v>-20095.077403000054</v>
      </c>
      <c r="AE58" s="69">
        <f>SUM(AE54:AE57)</f>
        <v>-148253.74836369872</v>
      </c>
      <c r="AF58" s="150"/>
      <c r="AG58" s="150"/>
      <c r="AH58" s="150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B58*X59</f>
        <v>-20095.077403000032</v>
      </c>
      <c r="C59" s="10"/>
      <c r="D59" s="10"/>
      <c r="E59" s="10"/>
      <c r="F59" s="10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1"/>
      <c r="U59" s="51"/>
      <c r="V59" s="51"/>
      <c r="W59" s="57"/>
      <c r="X59" s="58">
        <f>1-(R58/L58)</f>
        <v>-6.5076877867929817E-2</v>
      </c>
      <c r="Y59" s="59"/>
      <c r="Z59" s="10"/>
      <c r="AA59" s="10"/>
      <c r="AB59" s="10"/>
      <c r="AC59" s="10"/>
      <c r="AD59" s="10"/>
      <c r="AE59" s="10"/>
      <c r="AF59" s="10"/>
      <c r="AG59" s="10"/>
      <c r="AH59" s="10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10"/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1"/>
      <c r="AA60" s="51"/>
      <c r="AB60" s="51"/>
      <c r="AC60" s="51"/>
      <c r="AD60" s="51"/>
      <c r="AE60" s="51"/>
      <c r="AF60" s="51"/>
      <c r="AG60" s="51"/>
      <c r="AH60" s="51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83"/>
      <c r="B61" s="315"/>
      <c r="C61" s="315"/>
      <c r="D61" s="315"/>
      <c r="E61" s="315"/>
      <c r="F61" s="315"/>
      <c r="G61" s="315"/>
      <c r="H61" s="316"/>
      <c r="I61" s="316"/>
      <c r="J61" s="316"/>
      <c r="K61" s="316"/>
      <c r="L61" s="316"/>
      <c r="M61" s="316"/>
      <c r="N61" s="316"/>
      <c r="O61" s="316"/>
      <c r="P61" s="316"/>
      <c r="Q61" s="316"/>
      <c r="R61" s="316"/>
      <c r="S61" s="316"/>
      <c r="T61" s="316"/>
      <c r="U61" s="316"/>
      <c r="V61" s="316"/>
      <c r="W61" s="316"/>
      <c r="X61" s="316"/>
      <c r="Y61" s="316"/>
      <c r="Z61" s="13"/>
      <c r="AA61" s="13"/>
      <c r="AB61" s="315"/>
      <c r="AC61" s="315"/>
      <c r="AD61" s="315"/>
      <c r="AE61" s="13"/>
      <c r="AF61" s="13"/>
      <c r="AG61" s="13"/>
      <c r="AH61" s="13"/>
      <c r="AI61"/>
      <c r="AJ61"/>
      <c r="AK61"/>
      <c r="AL61"/>
      <c r="AM61"/>
      <c r="AN61"/>
      <c r="AO61"/>
      <c r="AP61"/>
      <c r="AQ61"/>
    </row>
    <row r="62" spans="1:43" s="10" customFormat="1" ht="27.95" customHeight="1" x14ac:dyDescent="0.2">
      <c r="A62" s="84"/>
      <c r="B62" s="13"/>
      <c r="C62" s="13"/>
      <c r="D62" s="13"/>
      <c r="E62" s="13"/>
      <c r="F62" s="13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3"/>
      <c r="AA62" s="13"/>
      <c r="AB62" s="13"/>
      <c r="AC62" s="13"/>
      <c r="AD62" s="13"/>
      <c r="AE62" s="13"/>
      <c r="AF62" s="13"/>
      <c r="AG62" s="13"/>
      <c r="AH62" s="13"/>
    </row>
    <row r="63" spans="1:43" s="10" customFormat="1" ht="27.95" customHeight="1" x14ac:dyDescent="0.2">
      <c r="A63" s="84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4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4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4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3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13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13" customFormat="1" ht="27.95" customHeight="1" x14ac:dyDescent="0.25">
      <c r="A69"/>
      <c r="B69"/>
      <c r="C69"/>
      <c r="D69"/>
      <c r="E69"/>
      <c r="F69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2"/>
      <c r="AC69" s="2"/>
      <c r="AD69" s="2"/>
      <c r="AE69" s="2"/>
      <c r="AF69" s="2"/>
      <c r="AG69" s="2"/>
      <c r="AH69" s="2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</sheetData>
  <mergeCells count="211">
    <mergeCell ref="R61:S61"/>
    <mergeCell ref="T61:U61"/>
    <mergeCell ref="V61:W61"/>
    <mergeCell ref="X61:Y61"/>
    <mergeCell ref="AB61:AD61"/>
    <mergeCell ref="R58:S58"/>
    <mergeCell ref="W58:X58"/>
    <mergeCell ref="B61:C61"/>
    <mergeCell ref="D61:E61"/>
    <mergeCell ref="F61:G61"/>
    <mergeCell ref="H61:I61"/>
    <mergeCell ref="J61:K61"/>
    <mergeCell ref="L61:M61"/>
    <mergeCell ref="N61:O61"/>
    <mergeCell ref="P61:Q61"/>
    <mergeCell ref="D57:F57"/>
    <mergeCell ref="I57:K57"/>
    <mergeCell ref="N57:Q57"/>
    <mergeCell ref="R57:S57"/>
    <mergeCell ref="U57:V57"/>
    <mergeCell ref="W57:X57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4:F54"/>
    <mergeCell ref="I54:K54"/>
    <mergeCell ref="N54:Q54"/>
    <mergeCell ref="R54:S54"/>
    <mergeCell ref="U54:V54"/>
    <mergeCell ref="W54:X54"/>
    <mergeCell ref="Z49:AA49"/>
    <mergeCell ref="AD49:AE49"/>
    <mergeCell ref="R50:S50"/>
    <mergeCell ref="W50:X50"/>
    <mergeCell ref="Z50:AA50"/>
    <mergeCell ref="A53:B53"/>
    <mergeCell ref="D53:G53"/>
    <mergeCell ref="I53:L53"/>
    <mergeCell ref="N53:S53"/>
    <mergeCell ref="U53:X53"/>
    <mergeCell ref="D49:F49"/>
    <mergeCell ref="I49:K49"/>
    <mergeCell ref="N49:Q49"/>
    <mergeCell ref="R49:S49"/>
    <mergeCell ref="U49:V49"/>
    <mergeCell ref="W49:X49"/>
    <mergeCell ref="Z47:AA47"/>
    <mergeCell ref="AD47:AE47"/>
    <mergeCell ref="D48:F48"/>
    <mergeCell ref="I48:K48"/>
    <mergeCell ref="N48:Q48"/>
    <mergeCell ref="R48:S48"/>
    <mergeCell ref="U48:V48"/>
    <mergeCell ref="W48:X48"/>
    <mergeCell ref="Z48:AA48"/>
    <mergeCell ref="AD48:AE48"/>
    <mergeCell ref="D47:F47"/>
    <mergeCell ref="I47:K47"/>
    <mergeCell ref="N47:Q47"/>
    <mergeCell ref="R47:S47"/>
    <mergeCell ref="U47:V47"/>
    <mergeCell ref="W47:X47"/>
    <mergeCell ref="Z45:AB45"/>
    <mergeCell ref="AD45:AF45"/>
    <mergeCell ref="D46:F46"/>
    <mergeCell ref="I46:K46"/>
    <mergeCell ref="N46:Q46"/>
    <mergeCell ref="R46:S46"/>
    <mergeCell ref="U46:V46"/>
    <mergeCell ref="W46:X46"/>
    <mergeCell ref="Z46:AA46"/>
    <mergeCell ref="AD46:AE46"/>
    <mergeCell ref="T43:U43"/>
    <mergeCell ref="V43:W43"/>
    <mergeCell ref="X43:Y43"/>
    <mergeCell ref="Z43:AB43"/>
    <mergeCell ref="AH43:AK43"/>
    <mergeCell ref="A45:B45"/>
    <mergeCell ref="D45:G45"/>
    <mergeCell ref="I45:L45"/>
    <mergeCell ref="N45:S45"/>
    <mergeCell ref="U45:X45"/>
    <mergeCell ref="X42:Y42"/>
    <mergeCell ref="Z42:AB42"/>
    <mergeCell ref="AH42:AK42"/>
    <mergeCell ref="B43:C43"/>
    <mergeCell ref="D43:F43"/>
    <mergeCell ref="G43:I43"/>
    <mergeCell ref="J43:K43"/>
    <mergeCell ref="M43:N43"/>
    <mergeCell ref="O43:Q43"/>
    <mergeCell ref="R43:S43"/>
    <mergeCell ref="AH41:AK41"/>
    <mergeCell ref="B42:C42"/>
    <mergeCell ref="D42:F42"/>
    <mergeCell ref="G42:I42"/>
    <mergeCell ref="J42:K42"/>
    <mergeCell ref="M42:N42"/>
    <mergeCell ref="O42:Q42"/>
    <mergeCell ref="R42:S42"/>
    <mergeCell ref="T42:U42"/>
    <mergeCell ref="V42:W42"/>
    <mergeCell ref="O41:Q41"/>
    <mergeCell ref="R41:S41"/>
    <mergeCell ref="T41:U41"/>
    <mergeCell ref="V41:W41"/>
    <mergeCell ref="X41:Y41"/>
    <mergeCell ref="Z41:AB41"/>
    <mergeCell ref="T40:U40"/>
    <mergeCell ref="V40:W40"/>
    <mergeCell ref="X40:Y40"/>
    <mergeCell ref="Z40:AB40"/>
    <mergeCell ref="AH40:AK40"/>
    <mergeCell ref="B41:C41"/>
    <mergeCell ref="D41:F41"/>
    <mergeCell ref="G41:I41"/>
    <mergeCell ref="J41:K41"/>
    <mergeCell ref="M41:N41"/>
    <mergeCell ref="X39:Y39"/>
    <mergeCell ref="Z39:AB39"/>
    <mergeCell ref="AH39:AK39"/>
    <mergeCell ref="B40:C40"/>
    <mergeCell ref="D40:F40"/>
    <mergeCell ref="G40:I40"/>
    <mergeCell ref="J40:K40"/>
    <mergeCell ref="M40:N40"/>
    <mergeCell ref="O40:Q40"/>
    <mergeCell ref="R40:S40"/>
    <mergeCell ref="AH38:AK38"/>
    <mergeCell ref="B39:C39"/>
    <mergeCell ref="D39:F39"/>
    <mergeCell ref="G39:I39"/>
    <mergeCell ref="J39:K39"/>
    <mergeCell ref="M39:N39"/>
    <mergeCell ref="O39:Q39"/>
    <mergeCell ref="R39:S39"/>
    <mergeCell ref="T39:U39"/>
    <mergeCell ref="V39:W39"/>
    <mergeCell ref="O38:Q38"/>
    <mergeCell ref="R38:S38"/>
    <mergeCell ref="T38:U38"/>
    <mergeCell ref="V38:W38"/>
    <mergeCell ref="X38:Y38"/>
    <mergeCell ref="Z38:AB38"/>
    <mergeCell ref="T37:U37"/>
    <mergeCell ref="V37:W37"/>
    <mergeCell ref="X37:Y37"/>
    <mergeCell ref="Z37:AB37"/>
    <mergeCell ref="AH37:AK37"/>
    <mergeCell ref="B38:C38"/>
    <mergeCell ref="D38:F38"/>
    <mergeCell ref="G38:I38"/>
    <mergeCell ref="J38:K38"/>
    <mergeCell ref="M38:N38"/>
    <mergeCell ref="AU3:AW3"/>
    <mergeCell ref="A36:U36"/>
    <mergeCell ref="V36:AB36"/>
    <mergeCell ref="B37:C37"/>
    <mergeCell ref="D37:F37"/>
    <mergeCell ref="G37:I37"/>
    <mergeCell ref="J37:K37"/>
    <mergeCell ref="M37:N37"/>
    <mergeCell ref="O37:Q37"/>
    <mergeCell ref="R37:S37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T3:T4"/>
    <mergeCell ref="U3:U4"/>
    <mergeCell ref="V3:V4"/>
    <mergeCell ref="W3:W4"/>
    <mergeCell ref="X3:X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</mergeCells>
  <conditionalFormatting sqref="I5:I34">
    <cfRule type="cellIs" dxfId="76" priority="35" operator="lessThan">
      <formula>$G$46</formula>
    </cfRule>
    <cfRule type="cellIs" dxfId="75" priority="36" operator="greaterThan">
      <formula>$G$46</formula>
    </cfRule>
    <cfRule type="cellIs" dxfId="73" priority="41" operator="lessThan">
      <formula>$G$46</formula>
    </cfRule>
    <cfRule type="cellIs" dxfId="74" priority="42" operator="greaterThan">
      <formula>$G$46</formula>
    </cfRule>
  </conditionalFormatting>
  <conditionalFormatting sqref="L5:L34">
    <cfRule type="cellIs" dxfId="71" priority="33" operator="lessThan">
      <formula>$G$47</formula>
    </cfRule>
    <cfRule type="cellIs" dxfId="70" priority="34" operator="greaterThan">
      <formula>$G$47</formula>
    </cfRule>
    <cfRule type="cellIs" dxfId="69" priority="39" operator="lessThan">
      <formula>$G$47</formula>
    </cfRule>
    <cfRule type="cellIs" dxfId="72" priority="40" operator="greaterThan">
      <formula>$G$47</formula>
    </cfRule>
  </conditionalFormatting>
  <conditionalFormatting sqref="L46">
    <cfRule type="cellIs" dxfId="67" priority="21" operator="lessThan">
      <formula>$G$46</formula>
    </cfRule>
    <cfRule type="cellIs" dxfId="66" priority="22" operator="greaterThan">
      <formula>$G$46</formula>
    </cfRule>
    <cfRule type="cellIs" dxfId="68" priority="55" operator="lessThan">
      <formula>$G$46</formula>
    </cfRule>
    <cfRule type="cellIs" dxfId="63" priority="56" operator="greaterThan">
      <formula>$G$46</formula>
    </cfRule>
    <cfRule type="cellIs" dxfId="65" priority="71" operator="lessThan">
      <formula>$G$46</formula>
    </cfRule>
    <cfRule type="cellIs" dxfId="64" priority="77" operator="greaterThan">
      <formula>$G$46</formula>
    </cfRule>
  </conditionalFormatting>
  <conditionalFormatting sqref="L47">
    <cfRule type="cellIs" dxfId="58" priority="17" operator="lessThan">
      <formula>$G$47</formula>
    </cfRule>
    <cfRule type="cellIs" dxfId="57" priority="20" operator="greaterThan">
      <formula>$G$47</formula>
    </cfRule>
    <cfRule type="cellIs" dxfId="61" priority="53" operator="lessThan">
      <formula>$G$47</formula>
    </cfRule>
    <cfRule type="cellIs" dxfId="62" priority="54" operator="greaterThan">
      <formula>$G$47</formula>
    </cfRule>
    <cfRule type="cellIs" dxfId="60" priority="70" operator="lessThan">
      <formula>$G$47</formula>
    </cfRule>
    <cfRule type="cellIs" dxfId="59" priority="76" operator="greaterThan">
      <formula>$G$47</formula>
    </cfRule>
  </conditionalFormatting>
  <conditionalFormatting sqref="L48">
    <cfRule type="cellIs" dxfId="53" priority="16" operator="lessThan">
      <formula>$G$48</formula>
    </cfRule>
    <cfRule type="cellIs" dxfId="56" priority="19" operator="greaterThan">
      <formula>$G$48</formula>
    </cfRule>
    <cfRule type="cellIs" dxfId="54" priority="51" operator="lessThan">
      <formula>$G$48</formula>
    </cfRule>
    <cfRule type="cellIs" dxfId="55" priority="52" operator="greaterThan">
      <formula>$G$48</formula>
    </cfRule>
    <cfRule type="cellIs" dxfId="51" priority="69" operator="lessThan">
      <formula>$G$48</formula>
    </cfRule>
    <cfRule type="cellIs" dxfId="52" priority="75" operator="greaterThan">
      <formula>$G$48</formula>
    </cfRule>
  </conditionalFormatting>
  <conditionalFormatting sqref="L49">
    <cfRule type="cellIs" dxfId="45" priority="15" operator="lessThan">
      <formula>$G$49</formula>
    </cfRule>
    <cfRule type="cellIs" dxfId="50" priority="18" operator="greaterThan">
      <formula>$G$49</formula>
    </cfRule>
    <cfRule type="cellIs" dxfId="49" priority="49" operator="lessThan">
      <formula>$G$49</formula>
    </cfRule>
    <cfRule type="cellIs" dxfId="48" priority="50" operator="greaterThan">
      <formula>$G$49</formula>
    </cfRule>
    <cfRule type="cellIs" dxfId="47" priority="68" operator="lessThan">
      <formula>$G$49</formula>
    </cfRule>
    <cfRule type="cellIs" dxfId="46" priority="74" operator="greaterThan">
      <formula>$G$49</formula>
    </cfRule>
  </conditionalFormatting>
  <conditionalFormatting sqref="L54:L55">
    <cfRule type="cellIs" dxfId="44" priority="3" operator="lessThan">
      <formula>$R$55</formula>
    </cfRule>
    <cfRule type="cellIs" dxfId="43" priority="6" operator="greaterThan">
      <formula>$R$55</formula>
    </cfRule>
    <cfRule type="cellIs" dxfId="41" priority="11" operator="lessThan">
      <formula>$R$55</formula>
    </cfRule>
    <cfRule type="cellIs" dxfId="40" priority="12" operator="greaterThan">
      <formula>$R$55</formula>
    </cfRule>
    <cfRule type="cellIs" dxfId="35" priority="25" operator="lessThan">
      <formula>$G$55</formula>
    </cfRule>
    <cfRule type="cellIs" dxfId="42" priority="28" operator="greaterThan">
      <formula>$G$55</formula>
    </cfRule>
    <cfRule type="cellIs" dxfId="39" priority="47" operator="lessThan">
      <formula>$W$47</formula>
    </cfRule>
    <cfRule type="cellIs" dxfId="38" priority="48" operator="greaterThan">
      <formula>$W$47</formula>
    </cfRule>
    <cfRule type="cellIs" dxfId="37" priority="61" operator="lessThan">
      <formula>$G$47</formula>
    </cfRule>
    <cfRule type="cellIs" dxfId="36" priority="64" operator="greaterThan">
      <formula>$G$47</formula>
    </cfRule>
  </conditionalFormatting>
  <conditionalFormatting sqref="L56">
    <cfRule type="cellIs" dxfId="34" priority="2" operator="lessThan">
      <formula>$R$56</formula>
    </cfRule>
    <cfRule type="cellIs" dxfId="32" priority="5" operator="greaterThan">
      <formula>$R$56</formula>
    </cfRule>
    <cfRule type="cellIs" dxfId="30" priority="9" operator="lessThan">
      <formula>$R$56</formula>
    </cfRule>
    <cfRule type="cellIs" dxfId="29" priority="10" operator="greaterThan">
      <formula>$R$56</formula>
    </cfRule>
    <cfRule type="cellIs" dxfId="31" priority="24" operator="lessThan">
      <formula>$G$56</formula>
    </cfRule>
    <cfRule type="cellIs" dxfId="28" priority="27" operator="greaterThan">
      <formula>$G$56</formula>
    </cfRule>
    <cfRule type="cellIs" dxfId="27" priority="45" operator="lessThan">
      <formula>$W$48</formula>
    </cfRule>
    <cfRule type="cellIs" dxfId="26" priority="46" operator="greaterThan">
      <formula>$W$48</formula>
    </cfRule>
    <cfRule type="cellIs" dxfId="33" priority="60" operator="lessThan">
      <formula>$G$48</formula>
    </cfRule>
    <cfRule type="cellIs" dxfId="25" priority="63" operator="greaterThan">
      <formula>$G$48</formula>
    </cfRule>
  </conditionalFormatting>
  <conditionalFormatting sqref="L57">
    <cfRule type="cellIs" dxfId="15" priority="1" operator="lessThan">
      <formula>$R$57</formula>
    </cfRule>
    <cfRule type="cellIs" dxfId="24" priority="4" operator="greaterThan">
      <formula>$R$57</formula>
    </cfRule>
    <cfRule type="cellIs" dxfId="21" priority="7" operator="lessThan">
      <formula>$R$57</formula>
    </cfRule>
    <cfRule type="cellIs" dxfId="23" priority="8" operator="greaterThan">
      <formula>$R$57</formula>
    </cfRule>
    <cfRule type="cellIs" dxfId="18" priority="23" operator="lessThan">
      <formula>$G$57</formula>
    </cfRule>
    <cfRule type="cellIs" dxfId="17" priority="26" operator="greaterThan">
      <formula>$G$57</formula>
    </cfRule>
    <cfRule type="cellIs" dxfId="16" priority="43" operator="lessThan">
      <formula>$W$49</formula>
    </cfRule>
    <cfRule type="cellIs" dxfId="22" priority="44" operator="greaterThan">
      <formula>$W$49</formula>
    </cfRule>
    <cfRule type="cellIs" dxfId="20" priority="59" operator="lessThan">
      <formula>$G$49</formula>
    </cfRule>
    <cfRule type="cellIs" dxfId="19" priority="62" operator="greaterThan">
      <formula>$G$49</formula>
    </cfRule>
  </conditionalFormatting>
  <conditionalFormatting sqref="U5:U34">
    <cfRule type="cellIs" dxfId="13" priority="29" operator="lessThan">
      <formula>$G$48</formula>
    </cfRule>
    <cfRule type="cellIs" dxfId="14" priority="30" operator="greaterThan">
      <formula>$G$48</formula>
    </cfRule>
  </conditionalFormatting>
  <conditionalFormatting sqref="W46:W49">
    <cfRule type="cellIs" dxfId="12" priority="73" operator="greaterThan">
      <formula>#REF!</formula>
    </cfRule>
  </conditionalFormatting>
  <conditionalFormatting sqref="W46:W57">
    <cfRule type="cellIs" dxfId="11" priority="65" operator="lessThan">
      <formula>#REF!</formula>
    </cfRule>
  </conditionalFormatting>
  <conditionalFormatting sqref="W47">
    <cfRule type="cellIs" dxfId="10" priority="72" operator="lessThan">
      <formula>#REF!</formula>
    </cfRule>
  </conditionalFormatting>
  <conditionalFormatting sqref="W54:W57">
    <cfRule type="cellIs" dxfId="9" priority="67" operator="greaterThan">
      <formula>#REF!</formula>
    </cfRule>
  </conditionalFormatting>
  <conditionalFormatting sqref="W55">
    <cfRule type="cellIs" dxfId="8" priority="66" operator="lessThan">
      <formula>#REF!</formula>
    </cfRule>
  </conditionalFormatting>
  <conditionalFormatting sqref="AA5:AA34">
    <cfRule type="cellIs" dxfId="5" priority="31" operator="lessThan">
      <formula>$G$49</formula>
    </cfRule>
    <cfRule type="cellIs" dxfId="4" priority="32" operator="greaterThan">
      <formula>$G$49</formula>
    </cfRule>
    <cfRule type="cellIs" dxfId="6" priority="37" operator="lessThan">
      <formula>$G$49</formula>
    </cfRule>
    <cfRule type="cellIs" dxfId="7" priority="38" operator="greaterThan">
      <formula>$G$49</formula>
    </cfRule>
  </conditionalFormatting>
  <conditionalFormatting sqref="AG50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0:AK50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39 L42" xr:uid="{A83D949F-1C4B-4D6C-810F-7358991794D4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Apr 2024</vt:lpstr>
      <vt:lpstr>'Apr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2025-05-21T09:18:34Z</dcterms:modified>
</cp:coreProperties>
</file>