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ohanad_mohamed_olympia-resort_com/Documents/Desktop/Utilites/"/>
    </mc:Choice>
  </mc:AlternateContent>
  <xr:revisionPtr revIDLastSave="40" documentId="13_ncr:1_{A6897EE7-4875-41EA-946C-08FF7549CAAE}" xr6:coauthVersionLast="47" xr6:coauthVersionMax="47" xr10:uidLastSave="{0C513D19-4183-4FA1-88EB-9AB72DF4669A}"/>
  <bookViews>
    <workbookView xWindow="-110" yWindow="-110" windowWidth="19420" windowHeight="11500" xr2:uid="{00000000-000D-0000-FFFF-FFFF00000000}"/>
  </bookViews>
  <sheets>
    <sheet name="Monthly Data" sheetId="1" r:id="rId1"/>
  </sheets>
  <externalReferences>
    <externalReference r:id="rId2"/>
  </externalReferences>
  <definedNames>
    <definedName name="K">[1]ReportMaster!$C$16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I20" i="1"/>
  <c r="F20" i="1"/>
  <c r="D20" i="1"/>
  <c r="U19" i="1"/>
  <c r="V19" i="1" s="1"/>
  <c r="S19" i="1"/>
  <c r="L19" i="1"/>
  <c r="I19" i="1"/>
  <c r="F19" i="1"/>
  <c r="D19" i="1"/>
  <c r="V18" i="1"/>
  <c r="U18" i="1"/>
  <c r="S18" i="1"/>
  <c r="L18" i="1"/>
  <c r="I18" i="1"/>
  <c r="F18" i="1"/>
  <c r="D18" i="1"/>
  <c r="U17" i="1" l="1"/>
  <c r="V17" i="1" s="1"/>
  <c r="S17" i="1"/>
  <c r="T17" i="1" s="1"/>
  <c r="L17" i="1"/>
  <c r="I17" i="1"/>
  <c r="F17" i="1"/>
  <c r="D17" i="1"/>
  <c r="U16" i="1" l="1"/>
  <c r="V16" i="1" s="1"/>
  <c r="T16" i="1"/>
  <c r="S16" i="1"/>
  <c r="L16" i="1"/>
  <c r="I16" i="1"/>
  <c r="F16" i="1"/>
  <c r="D16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L15" i="1"/>
  <c r="D15" i="1"/>
  <c r="U22" i="1"/>
  <c r="U26" i="1"/>
  <c r="V26" i="1" s="1"/>
  <c r="U25" i="1"/>
  <c r="U24" i="1"/>
  <c r="U23" i="1"/>
  <c r="U21" i="1"/>
  <c r="U20" i="1"/>
  <c r="U15" i="1"/>
  <c r="V15" i="1" s="1"/>
  <c r="V14" i="1"/>
  <c r="I15" i="1"/>
  <c r="M14" i="1"/>
  <c r="S14" i="1"/>
  <c r="S13" i="1"/>
  <c r="L14" i="1" l="1"/>
  <c r="I14" i="1" l="1"/>
  <c r="T13" i="1" l="1"/>
  <c r="L13" i="1" l="1"/>
  <c r="I13" i="1"/>
  <c r="S12" i="1" l="1"/>
  <c r="M12" i="1" l="1"/>
  <c r="L12" i="1"/>
  <c r="I12" i="1"/>
  <c r="V20" i="1" l="1"/>
  <c r="V21" i="1"/>
  <c r="V22" i="1"/>
  <c r="V23" i="1"/>
  <c r="V24" i="1"/>
  <c r="V25" i="1"/>
  <c r="S15" i="1"/>
  <c r="T15" i="1" s="1"/>
  <c r="V4" i="1" l="1"/>
  <c r="V5" i="1"/>
  <c r="V6" i="1"/>
  <c r="V7" i="1"/>
  <c r="V8" i="1"/>
  <c r="V9" i="1"/>
  <c r="V10" i="1"/>
  <c r="V11" i="1"/>
  <c r="V12" i="1"/>
  <c r="V13" i="1"/>
  <c r="V3" i="1"/>
  <c r="S11" i="1" l="1"/>
  <c r="T11" i="1" s="1"/>
  <c r="T12" i="1"/>
  <c r="T14" i="1"/>
  <c r="T8" i="1"/>
  <c r="T9" i="1"/>
  <c r="S4" i="1"/>
  <c r="T4" i="1" s="1"/>
  <c r="S5" i="1"/>
  <c r="T5" i="1" s="1"/>
  <c r="S6" i="1"/>
  <c r="T6" i="1" s="1"/>
  <c r="S7" i="1"/>
  <c r="T7" i="1" s="1"/>
  <c r="S8" i="1"/>
  <c r="S9" i="1"/>
  <c r="S10" i="1"/>
  <c r="T10" i="1" s="1"/>
  <c r="S3" i="1"/>
  <c r="T3" i="1" s="1"/>
  <c r="M3" i="1"/>
  <c r="M4" i="1"/>
  <c r="M5" i="1"/>
  <c r="M6" i="1"/>
  <c r="M7" i="1"/>
  <c r="M8" i="1"/>
  <c r="M9" i="1"/>
  <c r="M10" i="1"/>
  <c r="M11" i="1"/>
  <c r="M13" i="1"/>
</calcChain>
</file>

<file path=xl/sharedStrings.xml><?xml version="1.0" encoding="utf-8"?>
<sst xmlns="http://schemas.openxmlformats.org/spreadsheetml/2006/main" count="75" uniqueCount="46">
  <si>
    <t>Site Name</t>
  </si>
  <si>
    <t>Month</t>
  </si>
  <si>
    <t>Year</t>
  </si>
  <si>
    <t>Purchased Electricity KWh</t>
  </si>
  <si>
    <t>Purchased Electricity Tariff ($/KWh)</t>
  </si>
  <si>
    <t>Total Electricity Cost</t>
  </si>
  <si>
    <t>Electricity Total Budgeted</t>
  </si>
  <si>
    <t>Electricity Total Budgeted Cost ($)</t>
  </si>
  <si>
    <t>Water Utility Supply (m3) m3</t>
  </si>
  <si>
    <t>Water Utility Supply (m3) $/m3</t>
  </si>
  <si>
    <t>Total Water Cost</t>
  </si>
  <si>
    <t>Irrigation Water (m3) m3</t>
  </si>
  <si>
    <t>Irrigation Water (m3) $/m3</t>
  </si>
  <si>
    <t>Water Irrigation Cost</t>
  </si>
  <si>
    <t>Water Total Budgeted</t>
  </si>
  <si>
    <t>Water Total Budgeted Cost ($)</t>
  </si>
  <si>
    <t>LPG Kitchen (Lbs)</t>
  </si>
  <si>
    <t>LPG Total Cost</t>
  </si>
  <si>
    <t>LPG Kitchen (Kg)</t>
  </si>
  <si>
    <t>LPG Kitchen $/Kg</t>
  </si>
  <si>
    <t>LPG Total Budgeted in LBS</t>
  </si>
  <si>
    <t>LPG Total Budgeted</t>
  </si>
  <si>
    <t>LPG Total Budgeted Cost ($)</t>
  </si>
  <si>
    <t>Room Nights</t>
  </si>
  <si>
    <t>Total Guests</t>
  </si>
  <si>
    <t>Total electricity consumption</t>
  </si>
  <si>
    <t>Average cost/KWh excluding demand</t>
  </si>
  <si>
    <t>Total Cost in local currency</t>
  </si>
  <si>
    <t>Your monthly budgeted electricity consumption in KW</t>
  </si>
  <si>
    <t>Your monthly electricity cost budgeted (in local currency)</t>
  </si>
  <si>
    <t>Total Water Consumption
(in unit  )</t>
  </si>
  <si>
    <t>Cost of Water per Unit  in local currency</t>
  </si>
  <si>
    <t>Total Cost of Water purchase in local currency</t>
  </si>
  <si>
    <t>in chosen unit</t>
  </si>
  <si>
    <t xml:space="preserve">in local currency </t>
  </si>
  <si>
    <t xml:space="preserve">Your monthly budgeted Water consumption in unit  </t>
  </si>
  <si>
    <t>Your monthly Water cost budgeted (in local currency)</t>
  </si>
  <si>
    <t>Your monthly  LPG consumption in  Bottles</t>
  </si>
  <si>
    <t>in local currency</t>
  </si>
  <si>
    <t>Your monthly  NG consumption in  local unit</t>
  </si>
  <si>
    <t>Cost of NG per unit  in local currency  excluding fixed cost</t>
  </si>
  <si>
    <t>Hudayriat</t>
  </si>
  <si>
    <t xml:space="preserve"> </t>
  </si>
  <si>
    <t xml:space="preserve">Your monthly budgeted LPG consumption in unit  </t>
  </si>
  <si>
    <t xml:space="preserve">Your monthly budgeted LPG  consumption in unit  </t>
  </si>
  <si>
    <t>Your monthly LPG cost budgeted (in local currency)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</si>
</sst>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9"/>
      <color rgb="FF7030A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70C0"/>
      <name val="Calibri"/>
      <family val="2"/>
    </font>
    <font>
      <b/>
      <sz val="9"/>
      <color rgb="FF0070C0"/>
      <name val="Calibri"/>
      <family val="2"/>
      <scheme val="minor"/>
    </font>
    <font>
      <sz val="11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8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Protection="1"/>
    <xf numFmtId="3" fontId="3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2" fontId="12" fillId="3" borderId="0" xfId="0" applyNumberFormat="1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2" fontId="9" fillId="3" borderId="0" xfId="0" applyNumberFormat="1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/>
    </xf>
    <xf numFmtId="3" fontId="6" fillId="0" borderId="0" xfId="0" applyNumberFormat="1" applyFon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</xf>
    <xf numFmtId="1" fontId="9" fillId="0" borderId="0" xfId="0" applyNumberFormat="1" applyFont="1" applyFill="1" applyAlignment="1" applyProtection="1">
      <alignment horizontal="center"/>
    </xf>
    <xf numFmtId="2" fontId="9" fillId="0" borderId="0" xfId="0" applyNumberFormat="1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center"/>
    </xf>
    <xf numFmtId="1" fontId="6" fillId="0" borderId="0" xfId="0" applyNumberFormat="1" applyFont="1" applyFill="1" applyAlignment="1" applyProtection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 applyProtection="1">
      <alignment horizontal="center" vertical="center" wrapText="1"/>
    </xf>
    <xf numFmtId="3" fontId="12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N_HOD_Personal/PRCC,CCC%20&amp;%20CCA/Budget%202023/FINAL%20P&amp;L/Submission%2006-10-22/Pearl%20Rotana_Budget%20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ster"/>
      <sheetName val="Index Owners"/>
      <sheetName val="Index"/>
      <sheetName val="Sum Oper Stat (Act-Fcst)"/>
      <sheetName val="fst"/>
      <sheetName val="Trend FY"/>
      <sheetName val="Trend Qtr"/>
      <sheetName val="YTD EX"/>
      <sheetName val="AMC"/>
      <sheetName val="Sum Oper Stat"/>
      <sheetName val="Rooms"/>
      <sheetName val="RoomsMix"/>
      <sheetName val="B.Mix"/>
      <sheetName val="Ls_AgXLB_WorkbookFile"/>
      <sheetName val="Ls_Alert"/>
      <sheetName val="F&amp;B"/>
      <sheetName val="F&amp;BMix"/>
      <sheetName val="Licence"/>
      <sheetName val="FCT F&amp;B"/>
      <sheetName val="YTD F&amp;B"/>
      <sheetName val="Sheet2"/>
      <sheetName val="F&amp;BSummary"/>
      <sheetName val="Misc"/>
      <sheetName val="Minor"/>
      <sheetName val="OOD"/>
      <sheetName val="HC"/>
      <sheetName val="SPA"/>
      <sheetName val="Laundry"/>
      <sheetName val="BC"/>
      <sheetName val="Golf"/>
      <sheetName val="OODGeneric"/>
      <sheetName val="A&amp;G"/>
      <sheetName val="HR"/>
      <sheetName val="IT"/>
      <sheetName val="IT Varience Details"/>
      <sheetName val="IT Opex 2020"/>
      <sheetName val="Ls_XLB_WorkbookFile"/>
      <sheetName val="S&amp;M"/>
      <sheetName val="Flow Through"/>
      <sheetName val="POM"/>
      <sheetName val="Engineering AMC 2023"/>
      <sheetName val="ENG AMC 2021"/>
      <sheetName val="Utilities"/>
      <sheetName val="MgtFees"/>
      <sheetName val="NOIE"/>
      <sheetName val="RENT 2023"/>
      <sheetName val="RENT"/>
      <sheetName val="Owner"/>
      <sheetName val="Payroll"/>
      <sheetName val="Payroll Breakdown"/>
      <sheetName val="Payroll Benefits"/>
      <sheetName val="Housing"/>
      <sheetName val="Manning"/>
      <sheetName val="Manning 1"/>
      <sheetName val="FFE Summary"/>
      <sheetName val="FFE Summary "/>
      <sheetName val="Bud Analysis AD &amp; AA Total"/>
    </sheetNames>
    <sheetDataSet>
      <sheetData sheetId="0" refreshError="1">
        <row r="3">
          <cell r="C3" t="str">
            <v>Rotana</v>
          </cell>
        </row>
        <row r="16">
          <cell r="C1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A38"/>
  <sheetViews>
    <sheetView showGridLines="0" tabSelected="1" showRuler="0" topLeftCell="H1" zoomScale="60" zoomScaleNormal="60" workbookViewId="0">
      <selection activeCell="X20" sqref="X20"/>
    </sheetView>
  </sheetViews>
  <sheetFormatPr defaultRowHeight="14.5" x14ac:dyDescent="0.35"/>
  <cols>
    <col min="1" max="1" width="22.7265625" style="2" bestFit="1" customWidth="1"/>
    <col min="2" max="2" width="9.81640625" style="2" customWidth="1"/>
    <col min="3" max="3" width="7.1796875" style="2" customWidth="1"/>
    <col min="4" max="6" width="15" style="2" customWidth="1"/>
    <col min="7" max="8" width="15" style="7" customWidth="1"/>
    <col min="9" max="14" width="15" style="2" customWidth="1"/>
    <col min="15" max="16" width="15" style="7" customWidth="1"/>
    <col min="17" max="17" width="15" style="2" customWidth="1"/>
    <col min="18" max="18" width="15" style="12" customWidth="1"/>
    <col min="19" max="19" width="15" style="2" customWidth="1"/>
    <col min="20" max="20" width="15" style="14" customWidth="1"/>
    <col min="21" max="23" width="15" style="2" customWidth="1"/>
    <col min="24" max="25" width="15" style="8" customWidth="1"/>
    <col min="27" max="27" width="9" style="5"/>
    <col min="28" max="28" width="12.81640625" customWidth="1"/>
  </cols>
  <sheetData>
    <row r="1" spans="1:27" s="1" customFormat="1" ht="70.400000000000006" customHeight="1" x14ac:dyDescent="0.35">
      <c r="A1" s="35" t="s">
        <v>0</v>
      </c>
      <c r="B1" s="35" t="s">
        <v>1</v>
      </c>
      <c r="C1" s="35" t="s">
        <v>2</v>
      </c>
      <c r="D1" s="21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6" t="s">
        <v>14</v>
      </c>
      <c r="P1" s="26" t="s">
        <v>15</v>
      </c>
      <c r="Q1" s="27" t="s">
        <v>16</v>
      </c>
      <c r="R1" s="29" t="s">
        <v>17</v>
      </c>
      <c r="S1" s="27" t="s">
        <v>18</v>
      </c>
      <c r="T1" s="28" t="s">
        <v>19</v>
      </c>
      <c r="U1" s="30" t="s">
        <v>20</v>
      </c>
      <c r="V1" s="30" t="s">
        <v>21</v>
      </c>
      <c r="W1" s="30" t="s">
        <v>22</v>
      </c>
      <c r="X1" s="36" t="s">
        <v>23</v>
      </c>
      <c r="Y1" s="36" t="s">
        <v>24</v>
      </c>
      <c r="AA1" s="4"/>
    </row>
    <row r="2" spans="1:27" s="1" customFormat="1" ht="70.400000000000006" customHeight="1" x14ac:dyDescent="0.35">
      <c r="A2" s="16"/>
      <c r="B2" s="16"/>
      <c r="C2" s="16"/>
      <c r="D2" s="17" t="s">
        <v>25</v>
      </c>
      <c r="E2" s="17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  <c r="L2" s="17" t="s">
        <v>33</v>
      </c>
      <c r="M2" s="17"/>
      <c r="N2" s="17" t="s">
        <v>34</v>
      </c>
      <c r="O2" s="17" t="s">
        <v>35</v>
      </c>
      <c r="P2" s="17" t="s">
        <v>36</v>
      </c>
      <c r="Q2" s="17" t="s">
        <v>37</v>
      </c>
      <c r="R2" s="19" t="s">
        <v>38</v>
      </c>
      <c r="S2" s="17" t="s">
        <v>39</v>
      </c>
      <c r="T2" s="18" t="s">
        <v>40</v>
      </c>
      <c r="U2" s="17" t="s">
        <v>44</v>
      </c>
      <c r="V2" s="17" t="s">
        <v>43</v>
      </c>
      <c r="W2" s="17" t="s">
        <v>45</v>
      </c>
      <c r="X2" s="20"/>
      <c r="Y2" s="20"/>
      <c r="AA2" s="4"/>
    </row>
    <row r="3" spans="1:27" x14ac:dyDescent="0.35">
      <c r="A3" s="3" t="s">
        <v>41</v>
      </c>
      <c r="B3" s="2">
        <v>1</v>
      </c>
      <c r="C3" s="2">
        <v>2025</v>
      </c>
      <c r="D3" s="31">
        <v>308128.65698055958</v>
      </c>
      <c r="E3" s="32">
        <v>0.2</v>
      </c>
      <c r="F3" s="31">
        <f>D3*E3</f>
        <v>61625.731396111922</v>
      </c>
      <c r="G3" s="10">
        <v>233821.1878552447</v>
      </c>
      <c r="H3" s="10">
        <v>46764.237571048943</v>
      </c>
      <c r="I3" s="31">
        <v>2756.7002551020405</v>
      </c>
      <c r="J3" s="32">
        <v>7.84</v>
      </c>
      <c r="K3" s="31">
        <v>21612.53</v>
      </c>
      <c r="L3" s="31">
        <v>721.77551020408168</v>
      </c>
      <c r="M3" s="32">
        <f t="shared" ref="M3:M13" si="0">N3/L3</f>
        <v>7.84</v>
      </c>
      <c r="N3" s="31">
        <v>5658.72</v>
      </c>
      <c r="O3" s="10">
        <v>5112.1000000000004</v>
      </c>
      <c r="P3" s="10">
        <v>40078.864000000001</v>
      </c>
      <c r="Q3" s="31">
        <v>2450</v>
      </c>
      <c r="R3" s="31">
        <v>6027</v>
      </c>
      <c r="S3" s="31">
        <f>Q3*0.453592</f>
        <v>1111.3004000000001</v>
      </c>
      <c r="T3" s="32">
        <f>R3/S3</f>
        <v>5.4233760736520926</v>
      </c>
      <c r="U3" s="10">
        <v>3367</v>
      </c>
      <c r="V3" s="10">
        <f>U3*0.453592</f>
        <v>1527.2442639999999</v>
      </c>
      <c r="W3" s="10">
        <v>8282.82</v>
      </c>
      <c r="X3" s="34">
        <v>651</v>
      </c>
      <c r="Y3" s="34">
        <v>1484</v>
      </c>
      <c r="AA3"/>
    </row>
    <row r="4" spans="1:27" x14ac:dyDescent="0.35">
      <c r="A4" s="3" t="s">
        <v>41</v>
      </c>
      <c r="B4" s="2">
        <v>2</v>
      </c>
      <c r="C4" s="2">
        <v>2025</v>
      </c>
      <c r="D4" s="31">
        <v>304654.98841310845</v>
      </c>
      <c r="E4" s="32">
        <v>0.2</v>
      </c>
      <c r="F4" s="31">
        <f t="shared" ref="F4:F15" si="1">D4*E4</f>
        <v>60930.997682621695</v>
      </c>
      <c r="G4" s="10">
        <v>253530.35163794208</v>
      </c>
      <c r="H4" s="10">
        <v>50706.070327588415</v>
      </c>
      <c r="I4" s="31">
        <v>2400.8698979591836</v>
      </c>
      <c r="J4" s="32">
        <v>7.84</v>
      </c>
      <c r="K4" s="31">
        <v>18822.82</v>
      </c>
      <c r="L4" s="31">
        <v>1290.1198979591838</v>
      </c>
      <c r="M4" s="32">
        <f t="shared" si="0"/>
        <v>7.84</v>
      </c>
      <c r="N4" s="31">
        <v>10114.540000000001</v>
      </c>
      <c r="O4" s="10">
        <v>4868.1700000000019</v>
      </c>
      <c r="P4" s="10">
        <v>38166.452800000014</v>
      </c>
      <c r="Q4" s="31">
        <v>2875</v>
      </c>
      <c r="R4" s="31">
        <v>7072.5</v>
      </c>
      <c r="S4" s="31">
        <f t="shared" ref="S4:S15" si="2">Q4*0.453592</f>
        <v>1304.077</v>
      </c>
      <c r="T4" s="32">
        <f t="shared" ref="T4:T14" si="3">R4/S4</f>
        <v>5.4233760736520926</v>
      </c>
      <c r="U4" s="10">
        <v>4236</v>
      </c>
      <c r="V4" s="10">
        <f t="shared" ref="V4:V25" si="4">U4*0.453592</f>
        <v>1921.415712</v>
      </c>
      <c r="W4" s="10">
        <v>10420.56</v>
      </c>
      <c r="X4" s="34">
        <v>649</v>
      </c>
      <c r="Y4" s="34">
        <v>1515</v>
      </c>
      <c r="AA4"/>
    </row>
    <row r="5" spans="1:27" x14ac:dyDescent="0.35">
      <c r="A5" s="3" t="s">
        <v>41</v>
      </c>
      <c r="B5" s="2">
        <v>3</v>
      </c>
      <c r="C5" s="2">
        <v>2025</v>
      </c>
      <c r="D5" s="31">
        <v>262974.07971109654</v>
      </c>
      <c r="E5" s="32">
        <v>0.2</v>
      </c>
      <c r="F5" s="31">
        <f t="shared" si="1"/>
        <v>52594.815942219313</v>
      </c>
      <c r="G5" s="10">
        <v>257336.94697061717</v>
      </c>
      <c r="H5" s="10">
        <v>51467.389394123435</v>
      </c>
      <c r="I5" s="31">
        <v>3145.25</v>
      </c>
      <c r="J5" s="32">
        <v>7.84</v>
      </c>
      <c r="K5" s="31">
        <v>24658.76</v>
      </c>
      <c r="L5" s="31">
        <v>1533.1096938775511</v>
      </c>
      <c r="M5" s="32">
        <f t="shared" si="0"/>
        <v>7.84</v>
      </c>
      <c r="N5" s="31">
        <v>12019.58</v>
      </c>
      <c r="O5" s="10">
        <v>4778.2699999999968</v>
      </c>
      <c r="P5" s="10">
        <v>37461.636799999971</v>
      </c>
      <c r="Q5" s="31">
        <v>3350</v>
      </c>
      <c r="R5" s="31">
        <v>8241</v>
      </c>
      <c r="S5" s="31">
        <f t="shared" si="2"/>
        <v>1519.5332000000001</v>
      </c>
      <c r="T5" s="32">
        <f t="shared" si="3"/>
        <v>5.4233760736520926</v>
      </c>
      <c r="U5" s="10">
        <v>5320</v>
      </c>
      <c r="V5" s="10">
        <f t="shared" si="4"/>
        <v>2413.1094400000002</v>
      </c>
      <c r="W5" s="10">
        <v>13087.199999999999</v>
      </c>
      <c r="X5" s="34">
        <v>550</v>
      </c>
      <c r="Y5" s="34">
        <v>1343</v>
      </c>
      <c r="AA5"/>
    </row>
    <row r="6" spans="1:27" x14ac:dyDescent="0.35">
      <c r="A6" s="3" t="s">
        <v>41</v>
      </c>
      <c r="B6" s="2">
        <v>4</v>
      </c>
      <c r="C6" s="2">
        <v>2025</v>
      </c>
      <c r="D6" s="31">
        <v>317997.7532987076</v>
      </c>
      <c r="E6" s="32">
        <v>0.2</v>
      </c>
      <c r="F6" s="31">
        <f t="shared" si="1"/>
        <v>63599.550659741522</v>
      </c>
      <c r="G6" s="10">
        <v>313138.22663403535</v>
      </c>
      <c r="H6" s="10">
        <v>62627.645326807076</v>
      </c>
      <c r="I6" s="31">
        <v>3204</v>
      </c>
      <c r="J6" s="32">
        <v>7.84</v>
      </c>
      <c r="K6" s="31">
        <v>25119.360000000001</v>
      </c>
      <c r="L6" s="31">
        <v>1902.0803571428571</v>
      </c>
      <c r="M6" s="32">
        <f t="shared" si="0"/>
        <v>7.84</v>
      </c>
      <c r="N6" s="31">
        <v>14912.31</v>
      </c>
      <c r="O6" s="10">
        <v>4229.2599999999966</v>
      </c>
      <c r="P6" s="10">
        <v>33157.398399999969</v>
      </c>
      <c r="Q6" s="31">
        <v>3200</v>
      </c>
      <c r="R6" s="31">
        <v>7872</v>
      </c>
      <c r="S6" s="31">
        <f t="shared" si="2"/>
        <v>1451.4944</v>
      </c>
      <c r="T6" s="32">
        <f t="shared" si="3"/>
        <v>5.4233760736520926</v>
      </c>
      <c r="U6" s="10">
        <v>3333</v>
      </c>
      <c r="V6" s="10">
        <f t="shared" si="4"/>
        <v>1511.822136</v>
      </c>
      <c r="W6" s="10">
        <v>8199.18</v>
      </c>
      <c r="X6" s="34">
        <v>834</v>
      </c>
      <c r="Y6" s="34">
        <v>2025</v>
      </c>
      <c r="AA6"/>
    </row>
    <row r="7" spans="1:27" x14ac:dyDescent="0.35">
      <c r="A7" s="3" t="s">
        <v>41</v>
      </c>
      <c r="B7" s="2">
        <v>5</v>
      </c>
      <c r="C7" s="2">
        <v>2025</v>
      </c>
      <c r="D7" s="31">
        <v>369605.66296869999</v>
      </c>
      <c r="E7" s="32">
        <v>0.2</v>
      </c>
      <c r="F7" s="31">
        <f t="shared" si="1"/>
        <v>73921.132593739996</v>
      </c>
      <c r="G7" s="10">
        <v>367459.64999999997</v>
      </c>
      <c r="H7" s="10">
        <v>73491.929999999993</v>
      </c>
      <c r="I7" s="31">
        <v>2521</v>
      </c>
      <c r="J7" s="32">
        <v>7.84</v>
      </c>
      <c r="K7" s="31">
        <v>19764.64</v>
      </c>
      <c r="L7" s="31">
        <v>1280.7704081632653</v>
      </c>
      <c r="M7" s="32">
        <f t="shared" si="0"/>
        <v>7.84</v>
      </c>
      <c r="N7" s="31">
        <v>10041.24</v>
      </c>
      <c r="O7" s="10">
        <v>7430.7808163265327</v>
      </c>
      <c r="P7" s="10">
        <v>58257.321600000017</v>
      </c>
      <c r="Q7" s="31">
        <v>3000</v>
      </c>
      <c r="R7" s="31">
        <v>7380</v>
      </c>
      <c r="S7" s="31">
        <f t="shared" si="2"/>
        <v>1360.7760000000001</v>
      </c>
      <c r="T7" s="32">
        <f t="shared" si="3"/>
        <v>5.4233760736520926</v>
      </c>
      <c r="U7" s="10">
        <v>2568</v>
      </c>
      <c r="V7" s="10">
        <f t="shared" si="4"/>
        <v>1164.8242559999999</v>
      </c>
      <c r="W7" s="10">
        <v>6317.28</v>
      </c>
      <c r="X7" s="34">
        <v>776</v>
      </c>
      <c r="Y7" s="34">
        <v>1804</v>
      </c>
      <c r="AA7"/>
    </row>
    <row r="8" spans="1:27" x14ac:dyDescent="0.35">
      <c r="A8" s="3" t="s">
        <v>41</v>
      </c>
      <c r="B8" s="2">
        <v>6</v>
      </c>
      <c r="C8" s="2">
        <v>2025</v>
      </c>
      <c r="D8" s="31">
        <v>447456.7</v>
      </c>
      <c r="E8" s="32">
        <v>0.2</v>
      </c>
      <c r="F8" s="31">
        <f t="shared" si="1"/>
        <v>89491.340000000011</v>
      </c>
      <c r="G8" s="10">
        <v>434740.77828173892</v>
      </c>
      <c r="H8" s="10">
        <v>86948.155656347793</v>
      </c>
      <c r="I8" s="31">
        <v>2639</v>
      </c>
      <c r="J8" s="32">
        <v>7.84</v>
      </c>
      <c r="K8" s="31">
        <v>20689.759999999998</v>
      </c>
      <c r="L8" s="31">
        <v>1226</v>
      </c>
      <c r="M8" s="32">
        <f t="shared" si="0"/>
        <v>7.84</v>
      </c>
      <c r="N8" s="31">
        <v>9611.84</v>
      </c>
      <c r="O8" s="10">
        <v>5991.9508163265309</v>
      </c>
      <c r="P8" s="10">
        <v>46976.894400000005</v>
      </c>
      <c r="Q8" s="31">
        <v>2950</v>
      </c>
      <c r="R8" s="31">
        <v>7257</v>
      </c>
      <c r="S8" s="31">
        <f t="shared" si="2"/>
        <v>1338.0963999999999</v>
      </c>
      <c r="T8" s="32">
        <f t="shared" si="3"/>
        <v>5.4233760736520926</v>
      </c>
      <c r="U8" s="10">
        <v>2470</v>
      </c>
      <c r="V8" s="10">
        <f t="shared" si="4"/>
        <v>1120.3722399999999</v>
      </c>
      <c r="W8" s="10">
        <v>6076.2</v>
      </c>
      <c r="X8" s="34">
        <v>771</v>
      </c>
      <c r="Y8" s="34">
        <v>1844</v>
      </c>
      <c r="AA8"/>
    </row>
    <row r="9" spans="1:27" x14ac:dyDescent="0.35">
      <c r="A9" s="3" t="s">
        <v>41</v>
      </c>
      <c r="B9" s="2">
        <v>7</v>
      </c>
      <c r="C9" s="2">
        <v>2025</v>
      </c>
      <c r="D9" s="31">
        <v>494059.35</v>
      </c>
      <c r="E9" s="33">
        <v>0.2</v>
      </c>
      <c r="F9" s="31">
        <f t="shared" si="1"/>
        <v>98811.87</v>
      </c>
      <c r="G9" s="10">
        <v>479556.31966358027</v>
      </c>
      <c r="H9" s="10">
        <v>95911.263932716058</v>
      </c>
      <c r="I9" s="31">
        <v>2764</v>
      </c>
      <c r="J9" s="32">
        <v>7.84</v>
      </c>
      <c r="K9" s="31">
        <v>21669.759999999998</v>
      </c>
      <c r="L9" s="31">
        <v>1427.1390306122451</v>
      </c>
      <c r="M9" s="32">
        <f t="shared" si="0"/>
        <v>7.84</v>
      </c>
      <c r="N9" s="31">
        <v>11188.77</v>
      </c>
      <c r="O9" s="10">
        <v>6182.800306122449</v>
      </c>
      <c r="P9" s="10">
        <v>48473.154399999999</v>
      </c>
      <c r="Q9" s="31">
        <v>2750</v>
      </c>
      <c r="R9" s="31">
        <v>6765</v>
      </c>
      <c r="S9" s="31">
        <f t="shared" si="2"/>
        <v>1247.3779999999999</v>
      </c>
      <c r="T9" s="32">
        <f t="shared" si="3"/>
        <v>5.4233760736520926</v>
      </c>
      <c r="U9" s="10">
        <v>1812</v>
      </c>
      <c r="V9" s="10">
        <f t="shared" si="4"/>
        <v>821.90870399999994</v>
      </c>
      <c r="W9" s="10">
        <v>4457.5199999999995</v>
      </c>
      <c r="X9" s="34">
        <v>801</v>
      </c>
      <c r="Y9" s="34">
        <v>2000</v>
      </c>
      <c r="AA9"/>
    </row>
    <row r="10" spans="1:27" x14ac:dyDescent="0.35">
      <c r="A10" s="3" t="s">
        <v>41</v>
      </c>
      <c r="B10" s="2">
        <v>8</v>
      </c>
      <c r="C10" s="2">
        <v>2025</v>
      </c>
      <c r="D10" s="31">
        <v>611248.25253633969</v>
      </c>
      <c r="E10" s="33">
        <v>0.2</v>
      </c>
      <c r="F10" s="31">
        <f t="shared" si="1"/>
        <v>122249.65050726794</v>
      </c>
      <c r="G10" s="10">
        <v>589390</v>
      </c>
      <c r="H10" s="10">
        <v>117878</v>
      </c>
      <c r="I10" s="31">
        <v>3046</v>
      </c>
      <c r="J10" s="32">
        <v>7.84</v>
      </c>
      <c r="K10" s="31">
        <v>23880.639999999999</v>
      </c>
      <c r="L10" s="31">
        <v>1561.8596938775511</v>
      </c>
      <c r="M10" s="32">
        <f t="shared" si="0"/>
        <v>7.84</v>
      </c>
      <c r="N10" s="31">
        <v>12244.98</v>
      </c>
      <c r="O10" s="10">
        <v>5358.9285714285716</v>
      </c>
      <c r="P10" s="10">
        <v>42014</v>
      </c>
      <c r="Q10" s="31">
        <v>3150</v>
      </c>
      <c r="R10" s="31">
        <v>7749</v>
      </c>
      <c r="S10" s="31">
        <f t="shared" si="2"/>
        <v>1428.8147999999999</v>
      </c>
      <c r="T10" s="32">
        <f t="shared" si="3"/>
        <v>5.4233760736520935</v>
      </c>
      <c r="U10" s="10">
        <v>1950</v>
      </c>
      <c r="V10" s="10">
        <f t="shared" si="4"/>
        <v>884.50440000000003</v>
      </c>
      <c r="W10" s="10">
        <v>4797</v>
      </c>
      <c r="X10" s="34">
        <v>1053</v>
      </c>
      <c r="Y10" s="34">
        <v>3005</v>
      </c>
      <c r="AA10"/>
    </row>
    <row r="11" spans="1:27" x14ac:dyDescent="0.35">
      <c r="A11" s="3" t="s">
        <v>41</v>
      </c>
      <c r="B11" s="2">
        <v>9</v>
      </c>
      <c r="C11" s="2">
        <v>2025</v>
      </c>
      <c r="D11" s="31">
        <v>597766.16652455821</v>
      </c>
      <c r="E11" s="33">
        <v>0.2</v>
      </c>
      <c r="F11" s="31">
        <f t="shared" si="1"/>
        <v>119553.23330491164</v>
      </c>
      <c r="G11" s="10">
        <v>585850</v>
      </c>
      <c r="H11" s="10">
        <v>117170</v>
      </c>
      <c r="I11" s="31">
        <v>3316</v>
      </c>
      <c r="J11" s="32">
        <v>7.84</v>
      </c>
      <c r="K11" s="31">
        <v>25997.439999999999</v>
      </c>
      <c r="L11" s="31">
        <v>1325</v>
      </c>
      <c r="M11" s="32">
        <f t="shared" si="0"/>
        <v>7.84</v>
      </c>
      <c r="N11" s="31">
        <v>10388</v>
      </c>
      <c r="O11" s="10">
        <v>3725.1275510204082</v>
      </c>
      <c r="P11" s="10">
        <v>29205</v>
      </c>
      <c r="Q11" s="31">
        <v>2850</v>
      </c>
      <c r="R11" s="31">
        <v>7011</v>
      </c>
      <c r="S11" s="31">
        <f t="shared" si="2"/>
        <v>1292.7372</v>
      </c>
      <c r="T11" s="32">
        <f t="shared" si="3"/>
        <v>5.4233760736520926</v>
      </c>
      <c r="U11" s="10">
        <v>2279</v>
      </c>
      <c r="V11" s="10">
        <f t="shared" si="4"/>
        <v>1033.7361679999999</v>
      </c>
      <c r="W11" s="10">
        <v>5606.34</v>
      </c>
      <c r="X11" s="34">
        <v>840</v>
      </c>
      <c r="Y11" s="34">
        <v>2208</v>
      </c>
      <c r="AA11"/>
    </row>
    <row r="12" spans="1:27" x14ac:dyDescent="0.35">
      <c r="A12" s="3" t="s">
        <v>41</v>
      </c>
      <c r="B12" s="2">
        <v>10</v>
      </c>
      <c r="C12" s="2">
        <v>2025</v>
      </c>
      <c r="D12" s="31">
        <v>530420.65587415756</v>
      </c>
      <c r="E12" s="33">
        <v>0.2</v>
      </c>
      <c r="F12" s="31">
        <f t="shared" si="1"/>
        <v>106084.13117483152</v>
      </c>
      <c r="G12" s="10">
        <v>490600</v>
      </c>
      <c r="H12" s="10">
        <v>98120</v>
      </c>
      <c r="I12" s="31">
        <f>34707.68/7.84</f>
        <v>4427</v>
      </c>
      <c r="J12" s="32">
        <v>7.84</v>
      </c>
      <c r="K12" s="31">
        <v>34707.68</v>
      </c>
      <c r="L12" s="31">
        <f>11109.28/7.84</f>
        <v>1417</v>
      </c>
      <c r="M12" s="32">
        <f>N12/L12</f>
        <v>7.8400000000000007</v>
      </c>
      <c r="N12" s="31">
        <v>11109.28</v>
      </c>
      <c r="O12" s="10">
        <v>2992.6020408163267</v>
      </c>
      <c r="P12" s="10">
        <v>23462</v>
      </c>
      <c r="Q12" s="31">
        <v>3850</v>
      </c>
      <c r="R12" s="31">
        <v>9471</v>
      </c>
      <c r="S12" s="31">
        <f>Q12*0.453592</f>
        <v>1746.3291999999999</v>
      </c>
      <c r="T12" s="32">
        <f t="shared" si="3"/>
        <v>5.4233760736520926</v>
      </c>
      <c r="U12" s="10">
        <v>3323</v>
      </c>
      <c r="V12" s="10">
        <f t="shared" si="4"/>
        <v>1507.286216</v>
      </c>
      <c r="W12" s="10">
        <v>8174.58</v>
      </c>
      <c r="X12" s="34">
        <v>1019</v>
      </c>
      <c r="Y12" s="34">
        <v>2796</v>
      </c>
      <c r="AA12"/>
    </row>
    <row r="13" spans="1:27" x14ac:dyDescent="0.35">
      <c r="A13" s="3" t="s">
        <v>41</v>
      </c>
      <c r="B13" s="2">
        <v>11</v>
      </c>
      <c r="C13" s="2">
        <v>2025</v>
      </c>
      <c r="D13" s="31">
        <v>419473.45606615872</v>
      </c>
      <c r="E13" s="33">
        <v>0.2</v>
      </c>
      <c r="F13" s="31">
        <f t="shared" si="1"/>
        <v>83894.691213231752</v>
      </c>
      <c r="G13" s="10">
        <v>356505</v>
      </c>
      <c r="H13" s="10">
        <v>71301</v>
      </c>
      <c r="I13" s="31">
        <f>28639.52/7.84</f>
        <v>3653</v>
      </c>
      <c r="J13" s="32">
        <v>7.84</v>
      </c>
      <c r="K13" s="31">
        <v>28639.52</v>
      </c>
      <c r="L13" s="31">
        <f>11399.36/7.84</f>
        <v>1454</v>
      </c>
      <c r="M13" s="32">
        <f t="shared" si="0"/>
        <v>7.8400000000000007</v>
      </c>
      <c r="N13" s="31">
        <v>11399.36</v>
      </c>
      <c r="O13" s="10">
        <v>4785.0765306122448</v>
      </c>
      <c r="P13" s="10">
        <v>37515</v>
      </c>
      <c r="Q13" s="31">
        <v>4100</v>
      </c>
      <c r="R13" s="33">
        <v>10086</v>
      </c>
      <c r="S13" s="31">
        <f>Q13*0.453592</f>
        <v>1859.7272</v>
      </c>
      <c r="T13" s="32">
        <f>R13/S13</f>
        <v>5.4233760736520926</v>
      </c>
      <c r="U13" s="10">
        <v>3744</v>
      </c>
      <c r="V13" s="10">
        <f t="shared" si="4"/>
        <v>1698.2484480000001</v>
      </c>
      <c r="W13" s="10">
        <v>9210.24</v>
      </c>
      <c r="X13" s="34">
        <v>888</v>
      </c>
      <c r="Y13" s="34">
        <v>2184</v>
      </c>
      <c r="AA13"/>
    </row>
    <row r="14" spans="1:27" x14ac:dyDescent="0.35">
      <c r="A14" s="3" t="s">
        <v>41</v>
      </c>
      <c r="B14" s="2">
        <v>12</v>
      </c>
      <c r="C14" s="2">
        <v>2025</v>
      </c>
      <c r="D14" s="31">
        <v>306124.92260122031</v>
      </c>
      <c r="E14" s="33">
        <v>0.2</v>
      </c>
      <c r="F14" s="31">
        <f t="shared" si="1"/>
        <v>61224.984520244063</v>
      </c>
      <c r="G14" s="10">
        <v>277325</v>
      </c>
      <c r="H14" s="10">
        <v>55465</v>
      </c>
      <c r="I14" s="31">
        <f>15993.6/7.84</f>
        <v>2040</v>
      </c>
      <c r="J14" s="32">
        <v>7.84</v>
      </c>
      <c r="K14" s="31">
        <v>15993.6</v>
      </c>
      <c r="L14" s="31">
        <f>8678.88/7.84</f>
        <v>1107</v>
      </c>
      <c r="M14" s="32">
        <f>N14/L14</f>
        <v>7.839999999999999</v>
      </c>
      <c r="N14" s="31">
        <v>8678.8799999999992</v>
      </c>
      <c r="O14" s="10">
        <v>4491.3265306122448</v>
      </c>
      <c r="P14" s="10">
        <v>35212</v>
      </c>
      <c r="Q14" s="31">
        <v>4125</v>
      </c>
      <c r="R14" s="33">
        <v>10147</v>
      </c>
      <c r="S14" s="31">
        <f>Q14*0.453592</f>
        <v>1871.067</v>
      </c>
      <c r="T14" s="32">
        <f t="shared" si="3"/>
        <v>5.4231088464496464</v>
      </c>
      <c r="U14" s="10">
        <v>4299</v>
      </c>
      <c r="V14" s="10">
        <f>U14*0.453592</f>
        <v>1949.9920079999999</v>
      </c>
      <c r="W14" s="10">
        <v>10575.539999999999</v>
      </c>
      <c r="X14" s="34">
        <v>1049</v>
      </c>
      <c r="Y14" s="34">
        <v>2934</v>
      </c>
      <c r="AA14"/>
    </row>
    <row r="15" spans="1:27" x14ac:dyDescent="0.35">
      <c r="A15" s="3" t="s">
        <v>41</v>
      </c>
      <c r="B15" s="2">
        <v>1</v>
      </c>
      <c r="C15" s="2">
        <v>2026</v>
      </c>
      <c r="D15" s="31">
        <f>(20694.4420569938/0.2)+167103</f>
        <v>270575.21028496901</v>
      </c>
      <c r="E15" s="33">
        <v>0.2</v>
      </c>
      <c r="F15" s="31">
        <f t="shared" si="1"/>
        <v>54115.042056993807</v>
      </c>
      <c r="G15" s="10">
        <v>318191.65000000002</v>
      </c>
      <c r="H15" s="10">
        <v>63638.33</v>
      </c>
      <c r="I15" s="31">
        <f t="shared" ref="I15:I20" si="5">K15/J15</f>
        <v>3765</v>
      </c>
      <c r="J15" s="32">
        <v>7.84</v>
      </c>
      <c r="K15" s="31">
        <v>29517.599999999999</v>
      </c>
      <c r="L15" s="31">
        <f t="shared" ref="L15:L20" si="6">N15/M15</f>
        <v>2014.0000000000002</v>
      </c>
      <c r="M15" s="32">
        <v>7.839999999999999</v>
      </c>
      <c r="N15" s="31">
        <v>15789.76</v>
      </c>
      <c r="O15" s="10">
        <v>3797.3530612244981</v>
      </c>
      <c r="P15" s="10">
        <v>29771.248000000101</v>
      </c>
      <c r="Q15" s="31">
        <v>4250</v>
      </c>
      <c r="R15" s="33">
        <v>10455</v>
      </c>
      <c r="S15" s="31">
        <f t="shared" si="2"/>
        <v>1927.7660000000001</v>
      </c>
      <c r="T15" s="32">
        <f>R15/S15</f>
        <v>5.4233760736520926</v>
      </c>
      <c r="U15" s="10">
        <f>W15/2.46</f>
        <v>4619.5726670871891</v>
      </c>
      <c r="V15" s="10">
        <f>U15*0.453592</f>
        <v>2095.4012052094122</v>
      </c>
      <c r="W15" s="10">
        <v>11364.148761034485</v>
      </c>
      <c r="X15" s="34">
        <v>969</v>
      </c>
      <c r="Y15" s="34">
        <v>2367</v>
      </c>
      <c r="AA15"/>
    </row>
    <row r="16" spans="1:27" x14ac:dyDescent="0.35">
      <c r="A16" s="3" t="s">
        <v>41</v>
      </c>
      <c r="B16" s="2">
        <v>2</v>
      </c>
      <c r="C16" s="2">
        <v>2026</v>
      </c>
      <c r="D16" s="31">
        <f>(24151.23/0.2)+142790</f>
        <v>263546.15000000002</v>
      </c>
      <c r="E16" s="33">
        <v>0.2</v>
      </c>
      <c r="F16" s="31">
        <f>28558+24151.23</f>
        <v>52709.229999999996</v>
      </c>
      <c r="G16" s="10">
        <v>314784.90000000002</v>
      </c>
      <c r="H16" s="10">
        <v>62956.98</v>
      </c>
      <c r="I16" s="31">
        <f t="shared" si="5"/>
        <v>3531</v>
      </c>
      <c r="J16" s="32">
        <v>7.84</v>
      </c>
      <c r="K16" s="31">
        <v>27683.040000000001</v>
      </c>
      <c r="L16" s="31">
        <f t="shared" si="6"/>
        <v>1535.0000000000002</v>
      </c>
      <c r="M16" s="32">
        <v>7.839999999999999</v>
      </c>
      <c r="N16" s="31">
        <v>12034.4</v>
      </c>
      <c r="O16" s="10">
        <v>4009.8675510204098</v>
      </c>
      <c r="P16" s="10">
        <v>31437.3616</v>
      </c>
      <c r="Q16" s="31">
        <v>4025</v>
      </c>
      <c r="R16" s="33">
        <v>9901.5</v>
      </c>
      <c r="S16" s="31">
        <f>Q16*0.453592</f>
        <v>1825.7077999999999</v>
      </c>
      <c r="T16" s="32">
        <f>R16/S16</f>
        <v>5.4233760736520926</v>
      </c>
      <c r="U16" s="10">
        <f t="shared" ref="U16:U19" si="7">W16/2.46</f>
        <v>5227.3389380431736</v>
      </c>
      <c r="V16" s="10">
        <f t="shared" ref="V16:V18" si="8">U16*0.453592</f>
        <v>2371.0791235848792</v>
      </c>
      <c r="W16" s="10">
        <v>12859.253787586207</v>
      </c>
      <c r="X16" s="34">
        <v>895</v>
      </c>
      <c r="Y16" s="34">
        <v>2423</v>
      </c>
    </row>
    <row r="17" spans="1:25" x14ac:dyDescent="0.35">
      <c r="A17" s="3" t="s">
        <v>41</v>
      </c>
      <c r="B17" s="2">
        <v>3</v>
      </c>
      <c r="C17" s="2">
        <v>2026</v>
      </c>
      <c r="D17" s="31">
        <f>(23865/0.2)+148659</f>
        <v>267984</v>
      </c>
      <c r="E17" s="33">
        <v>0.2</v>
      </c>
      <c r="F17" s="31">
        <f>29731.8+23865</f>
        <v>53596.800000000003</v>
      </c>
      <c r="G17" s="10">
        <v>272057.7</v>
      </c>
      <c r="H17" s="10">
        <v>54411.54</v>
      </c>
      <c r="I17" s="31">
        <f t="shared" si="5"/>
        <v>4040</v>
      </c>
      <c r="J17" s="32">
        <v>7.84</v>
      </c>
      <c r="K17" s="31">
        <v>31673.599999999999</v>
      </c>
      <c r="L17" s="31">
        <f t="shared" si="6"/>
        <v>1733.0000000000002</v>
      </c>
      <c r="M17" s="32">
        <v>7.839999999999999</v>
      </c>
      <c r="N17" s="31">
        <v>13586.72</v>
      </c>
      <c r="O17" s="10">
        <v>4997.2375510204092</v>
      </c>
      <c r="P17" s="10">
        <v>39178.342400000001</v>
      </c>
      <c r="Q17" s="31">
        <v>3250</v>
      </c>
      <c r="R17" s="33">
        <v>7995</v>
      </c>
      <c r="S17" s="31">
        <f>Q17*0.453592</f>
        <v>1474.174</v>
      </c>
      <c r="T17" s="32">
        <f>R17/S17</f>
        <v>5.4233760736520926</v>
      </c>
      <c r="U17" s="10">
        <f t="shared" si="7"/>
        <v>3882.7707696243338</v>
      </c>
      <c r="V17" s="10">
        <f t="shared" si="8"/>
        <v>1761.1937589354409</v>
      </c>
      <c r="W17" s="10">
        <v>9551.6160932758612</v>
      </c>
      <c r="X17" s="8">
        <v>487</v>
      </c>
      <c r="Y17" s="34">
        <v>1313</v>
      </c>
    </row>
    <row r="18" spans="1:25" x14ac:dyDescent="0.35">
      <c r="A18" s="3" t="s">
        <v>41</v>
      </c>
      <c r="B18" s="2">
        <v>4</v>
      </c>
      <c r="C18" s="2">
        <v>2026</v>
      </c>
      <c r="D18" s="31">
        <f>(23623.2/0.2)+174501</f>
        <v>292617</v>
      </c>
      <c r="E18" s="33">
        <v>0.2</v>
      </c>
      <c r="F18" s="31">
        <f>23623.2+34900.2</f>
        <v>58523.399999999994</v>
      </c>
      <c r="G18" s="10">
        <v>327954.75000000006</v>
      </c>
      <c r="H18" s="10">
        <v>65590.950000000012</v>
      </c>
      <c r="I18" s="31">
        <f t="shared" si="5"/>
        <v>3890</v>
      </c>
      <c r="J18" s="32">
        <v>7.84</v>
      </c>
      <c r="K18" s="3">
        <v>30497.599999999999</v>
      </c>
      <c r="L18" s="31">
        <f t="shared" si="6"/>
        <v>1465</v>
      </c>
      <c r="M18" s="32">
        <v>7.84</v>
      </c>
      <c r="N18" s="3">
        <v>11485.6</v>
      </c>
      <c r="O18" s="10">
        <v>5424.9575510204068</v>
      </c>
      <c r="P18" s="10">
        <v>42531.667199999982</v>
      </c>
      <c r="Q18" s="2">
        <v>3300</v>
      </c>
      <c r="R18" s="33">
        <v>8118</v>
      </c>
      <c r="S18" s="31">
        <f>Q18*0.453592</f>
        <v>1496.8535999999999</v>
      </c>
      <c r="T18" s="32">
        <v>5.42</v>
      </c>
      <c r="U18" s="10">
        <f t="shared" si="7"/>
        <v>4159.8277049901881</v>
      </c>
      <c r="V18" s="10">
        <f t="shared" si="8"/>
        <v>1886.8645683619093</v>
      </c>
      <c r="W18" s="10">
        <v>10233.176154275863</v>
      </c>
      <c r="X18" s="8">
        <v>780</v>
      </c>
      <c r="Y18" s="34">
        <v>1747</v>
      </c>
    </row>
    <row r="19" spans="1:25" ht="16.5" customHeight="1" x14ac:dyDescent="0.35">
      <c r="A19" s="3" t="s">
        <v>41</v>
      </c>
      <c r="B19" s="2">
        <v>5</v>
      </c>
      <c r="C19" s="2">
        <v>2026</v>
      </c>
      <c r="D19" s="31">
        <f>(25963.75/0.2)+200268</f>
        <v>330086.75</v>
      </c>
      <c r="E19" s="33">
        <v>0.2</v>
      </c>
      <c r="F19" s="31">
        <f>25963.75+40053.6</f>
        <v>66017.350000000006</v>
      </c>
      <c r="G19" s="10">
        <v>379962.8</v>
      </c>
      <c r="H19" s="10">
        <v>75992.56</v>
      </c>
      <c r="I19" s="31">
        <f t="shared" si="5"/>
        <v>3076</v>
      </c>
      <c r="J19" s="32">
        <v>7.84</v>
      </c>
      <c r="K19" s="31">
        <v>24115.84</v>
      </c>
      <c r="L19" s="31">
        <f t="shared" si="6"/>
        <v>1490.6999999999971</v>
      </c>
      <c r="M19" s="32">
        <v>7.84</v>
      </c>
      <c r="N19" s="31">
        <v>11687.087999999976</v>
      </c>
      <c r="O19" s="10">
        <v>4120.6475510204091</v>
      </c>
      <c r="P19" s="10">
        <v>32305.876800000002</v>
      </c>
      <c r="Q19" s="31">
        <v>3350</v>
      </c>
      <c r="R19" s="33">
        <v>8241</v>
      </c>
      <c r="S19" s="31">
        <f>Q19*0.453592</f>
        <v>1519.5332000000001</v>
      </c>
      <c r="T19" s="32">
        <v>5.42</v>
      </c>
      <c r="U19" s="10">
        <f t="shared" si="7"/>
        <v>3940.3359750490604</v>
      </c>
      <c r="V19" s="10">
        <f>U19*0.453592</f>
        <v>1787.3048755944533</v>
      </c>
      <c r="W19" s="10">
        <v>9693.2264986206883</v>
      </c>
      <c r="X19" s="8">
        <v>1005</v>
      </c>
      <c r="Y19" s="34">
        <v>2500</v>
      </c>
    </row>
    <row r="20" spans="1:25" x14ac:dyDescent="0.35">
      <c r="A20" s="3" t="s">
        <v>41</v>
      </c>
      <c r="B20" s="2">
        <v>6</v>
      </c>
      <c r="C20" s="2">
        <v>2026</v>
      </c>
      <c r="D20" s="31">
        <f>(40309.75/0.2)+221713</f>
        <v>423261.75</v>
      </c>
      <c r="E20" s="33">
        <v>0.2</v>
      </c>
      <c r="F20" s="31">
        <f>40309.75+46559.73</f>
        <v>86869.48000000001</v>
      </c>
      <c r="G20" s="10">
        <v>460491.69999999995</v>
      </c>
      <c r="H20" s="10">
        <v>92098.34</v>
      </c>
      <c r="I20" s="31">
        <f t="shared" si="5"/>
        <v>2762.2295918367349</v>
      </c>
      <c r="J20" s="32">
        <v>7.84</v>
      </c>
      <c r="K20" s="31">
        <v>21655.88</v>
      </c>
      <c r="L20" s="31">
        <f t="shared" si="6"/>
        <v>1501.0994897959185</v>
      </c>
      <c r="M20" s="32">
        <v>7.84</v>
      </c>
      <c r="N20" s="31">
        <v>11768.62</v>
      </c>
      <c r="O20" s="10">
        <v>4183.8775510204086</v>
      </c>
      <c r="P20" s="10">
        <v>32801.599999999999</v>
      </c>
      <c r="Q20" s="3">
        <v>3450</v>
      </c>
      <c r="R20" s="33">
        <v>8487</v>
      </c>
      <c r="S20" s="31">
        <v>1564.8924</v>
      </c>
      <c r="T20" s="32">
        <v>5.42</v>
      </c>
      <c r="U20" s="10">
        <f t="shared" ref="U20:U25" si="9">W20/2.46</f>
        <v>3251.9533238015133</v>
      </c>
      <c r="V20" s="10">
        <f t="shared" si="4"/>
        <v>1475.0600120497761</v>
      </c>
      <c r="W20" s="10">
        <v>7999.805176551723</v>
      </c>
      <c r="X20" s="8">
        <v>819</v>
      </c>
      <c r="Y20" s="34">
        <v>1866</v>
      </c>
    </row>
    <row r="21" spans="1:25" x14ac:dyDescent="0.35">
      <c r="A21" s="3" t="s">
        <v>41</v>
      </c>
      <c r="B21" s="2">
        <v>7</v>
      </c>
      <c r="C21" s="2">
        <v>2026</v>
      </c>
      <c r="D21" s="9"/>
      <c r="E21" s="33">
        <v>0.2</v>
      </c>
      <c r="F21" s="10"/>
      <c r="G21" s="10">
        <v>560464.25</v>
      </c>
      <c r="H21" s="10">
        <v>112092.85</v>
      </c>
      <c r="I21" s="3"/>
      <c r="J21" s="32"/>
      <c r="K21" s="3"/>
      <c r="L21" s="3"/>
      <c r="M21" s="32"/>
      <c r="N21" s="3"/>
      <c r="O21" s="10">
        <v>4524.6370408163275</v>
      </c>
      <c r="P21" s="10">
        <v>35473.154399999999</v>
      </c>
      <c r="Q21" s="9"/>
      <c r="R21" s="37" t="s">
        <v>42</v>
      </c>
      <c r="S21" s="31"/>
      <c r="T21" s="32"/>
      <c r="U21" s="10">
        <f t="shared" si="9"/>
        <v>3307.5275730305575</v>
      </c>
      <c r="V21" s="10">
        <f t="shared" si="4"/>
        <v>1500.2680469060767</v>
      </c>
      <c r="W21" s="10">
        <v>8136.5178296551712</v>
      </c>
      <c r="Y21" s="15"/>
    </row>
    <row r="22" spans="1:25" x14ac:dyDescent="0.35">
      <c r="A22" s="3" t="s">
        <v>41</v>
      </c>
      <c r="B22" s="2">
        <v>8</v>
      </c>
      <c r="C22" s="2">
        <v>2026</v>
      </c>
      <c r="E22" s="33">
        <v>0.2</v>
      </c>
      <c r="F22" s="7"/>
      <c r="G22" s="10">
        <v>605901.9</v>
      </c>
      <c r="H22" s="10">
        <v>121180.38</v>
      </c>
      <c r="J22" s="32"/>
      <c r="K22" s="3"/>
      <c r="L22" s="3"/>
      <c r="M22" s="32"/>
      <c r="N22" s="3"/>
      <c r="O22" s="10">
        <v>3356.3575510204064</v>
      </c>
      <c r="P22" s="10">
        <v>26313.843199999981</v>
      </c>
      <c r="R22" s="37" t="s">
        <v>42</v>
      </c>
      <c r="S22" s="31"/>
      <c r="T22" s="32"/>
      <c r="U22" s="10">
        <f>W22/2.46</f>
        <v>3044.071839921502</v>
      </c>
      <c r="V22" s="10">
        <f t="shared" si="4"/>
        <v>1380.7666340136739</v>
      </c>
      <c r="W22" s="10">
        <v>7488.416726206895</v>
      </c>
      <c r="Y22" s="15"/>
    </row>
    <row r="23" spans="1:25" x14ac:dyDescent="0.35">
      <c r="A23" s="3" t="s">
        <v>41</v>
      </c>
      <c r="B23" s="2">
        <v>9</v>
      </c>
      <c r="C23" s="2">
        <v>2026</v>
      </c>
      <c r="E23" s="33">
        <v>0.2</v>
      </c>
      <c r="F23" s="7"/>
      <c r="G23" s="10">
        <v>594123.80000000005</v>
      </c>
      <c r="H23" s="10">
        <v>118824.76000000001</v>
      </c>
      <c r="J23" s="32"/>
      <c r="K23" s="3"/>
      <c r="L23" s="3"/>
      <c r="M23" s="32"/>
      <c r="N23" s="3"/>
      <c r="O23" s="10">
        <v>5084.5775510204021</v>
      </c>
      <c r="P23" s="10">
        <v>39863.087999999945</v>
      </c>
      <c r="R23" s="37" t="s">
        <v>42</v>
      </c>
      <c r="S23" s="31"/>
      <c r="T23" s="32"/>
      <c r="U23" s="10">
        <f t="shared" si="9"/>
        <v>3950.6561796677879</v>
      </c>
      <c r="V23" s="10">
        <f t="shared" si="4"/>
        <v>1791.9860378478713</v>
      </c>
      <c r="W23" s="10">
        <v>9718.6142019827585</v>
      </c>
      <c r="Y23" s="15"/>
    </row>
    <row r="24" spans="1:25" x14ac:dyDescent="0.35">
      <c r="A24" s="3" t="s">
        <v>41</v>
      </c>
      <c r="B24" s="2">
        <v>10</v>
      </c>
      <c r="C24" s="2">
        <v>2026</v>
      </c>
      <c r="E24" s="33">
        <v>0.2</v>
      </c>
      <c r="F24" s="7"/>
      <c r="G24" s="10">
        <v>505768.4</v>
      </c>
      <c r="H24" s="10">
        <v>101153.68000000001</v>
      </c>
      <c r="J24" s="32"/>
      <c r="K24" s="3"/>
      <c r="L24" s="3"/>
      <c r="M24" s="32"/>
      <c r="N24" s="3"/>
      <c r="O24" s="10">
        <v>4000.3275510204126</v>
      </c>
      <c r="P24" s="10">
        <v>31362.568000000032</v>
      </c>
      <c r="R24" s="37" t="s">
        <v>42</v>
      </c>
      <c r="S24" s="31"/>
      <c r="T24" s="32"/>
      <c r="U24" s="10">
        <f t="shared" si="9"/>
        <v>4909.051130151388</v>
      </c>
      <c r="V24" s="10">
        <f t="shared" si="4"/>
        <v>2226.7063202276286</v>
      </c>
      <c r="W24" s="10">
        <v>12076.265780172414</v>
      </c>
      <c r="Y24" s="15"/>
    </row>
    <row r="25" spans="1:25" x14ac:dyDescent="0.35">
      <c r="A25" s="3" t="s">
        <v>41</v>
      </c>
      <c r="B25" s="2">
        <v>11</v>
      </c>
      <c r="C25" s="2">
        <v>2026</v>
      </c>
      <c r="E25" s="33">
        <v>0.2</v>
      </c>
      <c r="F25" s="7"/>
      <c r="G25" s="10">
        <v>472737.1</v>
      </c>
      <c r="H25" s="10">
        <v>94547.42</v>
      </c>
      <c r="J25" s="32"/>
      <c r="K25" s="3"/>
      <c r="L25" s="3"/>
      <c r="M25" s="32"/>
      <c r="N25" s="3"/>
      <c r="O25" s="10">
        <v>4368.3275510204085</v>
      </c>
      <c r="P25" s="10">
        <v>34247.687999999995</v>
      </c>
      <c r="R25" s="37" t="s">
        <v>42</v>
      </c>
      <c r="S25" s="31"/>
      <c r="T25" s="32"/>
      <c r="U25" s="10">
        <f t="shared" si="9"/>
        <v>4452.1473492781042</v>
      </c>
      <c r="V25" s="10">
        <f t="shared" si="4"/>
        <v>2019.4584204537539</v>
      </c>
      <c r="W25" s="10">
        <v>10952.282479224135</v>
      </c>
      <c r="Y25" s="15"/>
    </row>
    <row r="26" spans="1:25" x14ac:dyDescent="0.35">
      <c r="A26" s="3" t="s">
        <v>41</v>
      </c>
      <c r="B26" s="2">
        <v>12</v>
      </c>
      <c r="C26" s="2">
        <v>2026</v>
      </c>
      <c r="E26" s="33">
        <v>0.2</v>
      </c>
      <c r="F26" s="7"/>
      <c r="G26" s="10">
        <v>364962.39999999997</v>
      </c>
      <c r="H26" s="10">
        <v>72992.479999999996</v>
      </c>
      <c r="J26" s="32"/>
      <c r="K26" s="3"/>
      <c r="L26" s="3"/>
      <c r="M26" s="32"/>
      <c r="N26" s="3"/>
      <c r="O26" s="10">
        <v>3243.5775510204057</v>
      </c>
      <c r="P26" s="10">
        <v>25429.647999999979</v>
      </c>
      <c r="R26" s="37" t="s">
        <v>42</v>
      </c>
      <c r="S26" s="31"/>
      <c r="T26" s="32"/>
      <c r="U26" s="10">
        <f>W26/2.46</f>
        <v>5055.2668518643086</v>
      </c>
      <c r="V26" s="10">
        <f>U26*0.453592</f>
        <v>2293.0286018708352</v>
      </c>
      <c r="W26" s="10">
        <v>12435.9564555862</v>
      </c>
      <c r="Y26" s="15"/>
    </row>
    <row r="27" spans="1:25" x14ac:dyDescent="0.35">
      <c r="A27" s="3"/>
      <c r="E27" s="7" t="s">
        <v>42</v>
      </c>
      <c r="F27" s="7"/>
      <c r="G27" s="6"/>
      <c r="H27" s="6"/>
      <c r="J27" s="3"/>
      <c r="K27" s="3"/>
      <c r="L27" s="3"/>
      <c r="M27" s="32"/>
      <c r="N27" s="3"/>
      <c r="O27" s="6"/>
      <c r="P27" s="6"/>
      <c r="R27" s="11"/>
      <c r="T27" s="13"/>
      <c r="U27" s="6"/>
      <c r="V27" s="6"/>
      <c r="W27" s="10"/>
    </row>
    <row r="31" spans="1:25" x14ac:dyDescent="0.35">
      <c r="D31" s="31"/>
    </row>
    <row r="32" spans="1:25" x14ac:dyDescent="0.35">
      <c r="D32" s="31"/>
      <c r="G32" s="10"/>
    </row>
    <row r="33" spans="4:7" x14ac:dyDescent="0.35">
      <c r="D33" s="31"/>
      <c r="G33" s="10"/>
    </row>
    <row r="34" spans="4:7" x14ac:dyDescent="0.35">
      <c r="G34" s="10"/>
    </row>
    <row r="35" spans="4:7" x14ac:dyDescent="0.35">
      <c r="G35" s="10"/>
    </row>
    <row r="36" spans="4:7" x14ac:dyDescent="0.35">
      <c r="G36" s="10"/>
    </row>
    <row r="37" spans="4:7" x14ac:dyDescent="0.35">
      <c r="G37" s="10"/>
    </row>
    <row r="38" spans="4:7" x14ac:dyDescent="0.35">
      <c r="G38" s="10"/>
    </row>
  </sheetData>
  <sheetProtection formatCells="0" formatColumns="0" formatRows="0" insertColumns="0" insertRows="0" insertHyperlinks="0" deleteColumns="0" deleteRows="0" sort="0" autoFilter="0" pivotTables="0"/>
  <dataValidations count="9">
    <dataValidation type="textLength" errorStyle="information" allowBlank="1" showInputMessage="1" showErrorMessage="1" error="XLBVal:5=291030_x000d__x000a_" sqref="H3:H26" xr:uid="{1DA467B6-54CC-4519-8853-94653791528F}">
      <formula1>0</formula1>
      <formula2>300</formula2>
    </dataValidation>
    <dataValidation type="textLength" errorStyle="information" allowBlank="1" showInputMessage="1" showErrorMessage="1" error="XLBVal:5=203721_x000d__x000a_" sqref="H27" xr:uid="{F6DAE73B-E740-4802-82C5-C4BC4F7E3E2F}">
      <formula1>0</formula1>
      <formula2>300</formula2>
    </dataValidation>
    <dataValidation type="textLength" errorStyle="information" allowBlank="1" showInputMessage="1" showErrorMessage="1" error="XLBVal:5=35789.07_x000d__x000a_" sqref="P3:Q3" xr:uid="{9EA0973D-5A91-4D76-9C60-0A71D7F41AE1}">
      <formula1>0</formula1>
      <formula2>300</formula2>
    </dataValidation>
    <dataValidation type="textLength" errorStyle="information" allowBlank="1" showInputMessage="1" showErrorMessage="1" error="XLBVal:5=39267.3_x000d__x000a_" sqref="P4:Q26" xr:uid="{0DD3ABFC-1CA7-4ED8-9EAF-F805C24170C6}">
      <formula1>0</formula1>
      <formula2>300</formula2>
    </dataValidation>
    <dataValidation type="textLength" errorStyle="information" allowBlank="1" showInputMessage="1" showErrorMessage="1" error="XLBVal:5=40686.6_x000d__x000a_" sqref="P27:Q27" xr:uid="{D60C8A19-BBB8-4267-8A4E-FD495CE12CB2}">
      <formula1>0</formula1>
      <formula2>300</formula2>
    </dataValidation>
    <dataValidation type="textLength" errorStyle="information" allowBlank="1" showInputMessage="1" showErrorMessage="1" error="XLBVal:6=1940200_x000d__x000a_" sqref="O3:O26" xr:uid="{D1BC1DF1-76C6-441B-8DA2-DFD70BD4590F}">
      <formula1>0</formula1>
      <formula2>300</formula2>
    </dataValidation>
    <dataValidation type="textLength" errorStyle="information" allowBlank="1" showInputMessage="1" showErrorMessage="1" error="XLBVal:5=0_x000d__x000a_" sqref="W27" xr:uid="{E4B384BA-1B71-4CE7-9978-5D23ED95095E}">
      <formula1>0</formula1>
      <formula2>300</formula2>
    </dataValidation>
    <dataValidation type="textLength" errorStyle="information" allowBlank="1" showInputMessage="1" showErrorMessage="1" error="XLBVal:2=0_x000d__x000a_" sqref="U27:V27" xr:uid="{677742AF-5075-450C-91A8-02EF38A5868D}">
      <formula1>0</formula1>
      <formula2>300</formula2>
    </dataValidation>
    <dataValidation type="textLength" errorStyle="information" allowBlank="1" showInputMessage="1" showErrorMessage="1" error="XLBVal:6=1710670_x000d__x000a_" sqref="G27 O27" xr:uid="{BC77AD3E-D5D8-4AF2-BF07-795ABD609102}">
      <formula1>0</formula1>
      <formula2>300</formula2>
    </dataValidation>
  </dataValidations>
  <pageMargins left="0.7" right="0.7" top="0.75" bottom="0.75" header="0.3" footer="0.3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Mohanad Mohamed</cp:lastModifiedBy>
  <cp:revision/>
  <dcterms:created xsi:type="dcterms:W3CDTF">2020-11-09T05:02:29Z</dcterms:created>
  <dcterms:modified xsi:type="dcterms:W3CDTF">2026-07-23T13:53:54Z</dcterms:modified>
  <cp:category/>
  <cp:contentStatus/>
</cp:coreProperties>
</file>